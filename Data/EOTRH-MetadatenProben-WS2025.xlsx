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trij.turaev\Downloads\"/>
    </mc:Choice>
  </mc:AlternateContent>
  <xr:revisionPtr revIDLastSave="0" documentId="13_ncr:1_{F89B9519-B071-4ECE-8C4A-4F436CC3ED3D}" xr6:coauthVersionLast="47" xr6:coauthVersionMax="47" xr10:uidLastSave="{00000000-0000-0000-0000-000000000000}"/>
  <bookViews>
    <workbookView xWindow="-110" yWindow="-110" windowWidth="19420" windowHeight="11500" firstSheet="1" activeTab="1" xr2:uid="{4A9A0BDA-BC7D-43F1-BF0B-EFC3BA2D1095}"/>
  </bookViews>
  <sheets>
    <sheet name="Gesamt" sheetId="1" r:id="rId1"/>
    <sheet name="Fallstudie_WS2025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6" i="1" l="1"/>
  <c r="AC38" i="1"/>
  <c r="U40" i="1"/>
  <c r="AC40" i="1" s="1"/>
  <c r="U39" i="1"/>
  <c r="AC39" i="1" s="1"/>
  <c r="U38" i="1"/>
  <c r="U37" i="1"/>
  <c r="AC37" i="1" s="1"/>
  <c r="U36" i="1"/>
  <c r="U35" i="1"/>
  <c r="AC35" i="1" s="1"/>
  <c r="U31" i="1" l="1"/>
  <c r="AC31" i="1" s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2" i="1"/>
  <c r="AB5" i="1"/>
  <c r="U32" i="1" l="1"/>
  <c r="AC32" i="1" s="1"/>
  <c r="U30" i="1"/>
  <c r="AC30" i="1" s="1"/>
  <c r="U29" i="1"/>
  <c r="AC29" i="1" s="1"/>
  <c r="U28" i="1"/>
  <c r="AC28" i="1" s="1"/>
  <c r="U27" i="1"/>
  <c r="AC27" i="1" s="1"/>
  <c r="X16" i="1" l="1"/>
  <c r="X6" i="1"/>
  <c r="X7" i="1"/>
  <c r="X8" i="1"/>
  <c r="X9" i="1"/>
  <c r="X10" i="1"/>
  <c r="X12" i="1"/>
  <c r="X15" i="1"/>
  <c r="X18" i="1"/>
  <c r="X19" i="1"/>
  <c r="X20" i="1"/>
  <c r="X21" i="1"/>
  <c r="X22" i="1"/>
  <c r="X23" i="1"/>
  <c r="X24" i="1"/>
  <c r="X25" i="1"/>
  <c r="X26" i="1"/>
  <c r="X5" i="1"/>
  <c r="Y6" i="1"/>
  <c r="Y7" i="1"/>
  <c r="Y8" i="1"/>
  <c r="Y9" i="1"/>
  <c r="Y10" i="1"/>
  <c r="Y12" i="1"/>
  <c r="Y15" i="1"/>
  <c r="Y16" i="1"/>
  <c r="Y18" i="1"/>
  <c r="Y19" i="1"/>
  <c r="Y20" i="1"/>
  <c r="Y21" i="1"/>
  <c r="Y22" i="1"/>
  <c r="Y23" i="1"/>
  <c r="Y24" i="1"/>
  <c r="Y25" i="1"/>
  <c r="Y26" i="1"/>
  <c r="Y5" i="1"/>
  <c r="U16" i="1" l="1"/>
  <c r="AC16" i="1" s="1"/>
  <c r="U5" i="1"/>
  <c r="AC5" i="1" s="1"/>
  <c r="U6" i="1"/>
  <c r="AC6" i="1" s="1"/>
  <c r="U7" i="1"/>
  <c r="AC7" i="1" s="1"/>
  <c r="U8" i="1"/>
  <c r="AC8" i="1" s="1"/>
  <c r="U9" i="1"/>
  <c r="AC9" i="1" s="1"/>
  <c r="U10" i="1"/>
  <c r="AC10" i="1" s="1"/>
  <c r="U11" i="1"/>
  <c r="AC11" i="1" s="1"/>
  <c r="U12" i="1"/>
  <c r="AC12" i="1" s="1"/>
  <c r="U13" i="1"/>
  <c r="AC13" i="1" s="1"/>
  <c r="U15" i="1"/>
  <c r="AC15" i="1" s="1"/>
  <c r="U26" i="1" l="1"/>
  <c r="AC26" i="1" s="1"/>
  <c r="U25" i="1"/>
  <c r="AC25" i="1" s="1"/>
  <c r="U24" i="1"/>
  <c r="AC24" i="1" s="1"/>
  <c r="U23" i="1"/>
  <c r="AC23" i="1" s="1"/>
  <c r="U22" i="1"/>
  <c r="AC22" i="1" s="1"/>
  <c r="U21" i="1"/>
  <c r="AC21" i="1" s="1"/>
  <c r="U20" i="1"/>
  <c r="AC20" i="1" s="1"/>
  <c r="U19" i="1"/>
  <c r="AC19" i="1" s="1"/>
  <c r="U18" i="1"/>
  <c r="AC18" i="1" s="1"/>
  <c r="U47" i="1"/>
  <c r="U48" i="1"/>
  <c r="U49" i="1"/>
  <c r="U50" i="1"/>
  <c r="U46" i="1"/>
  <c r="Q19" i="1"/>
  <c r="Q20" i="1"/>
  <c r="Q21" i="1"/>
  <c r="Q22" i="1"/>
  <c r="Q23" i="1"/>
  <c r="Q24" i="1"/>
  <c r="Q25" i="1"/>
  <c r="Q26" i="1"/>
  <c r="Q18" i="1"/>
  <c r="Q6" i="1" l="1"/>
  <c r="Q7" i="1"/>
  <c r="Q8" i="1"/>
  <c r="Q9" i="1"/>
  <c r="Q10" i="1"/>
  <c r="Q11" i="1"/>
  <c r="Q12" i="1"/>
  <c r="Q13" i="1"/>
  <c r="Q15" i="1"/>
  <c r="Q16" i="1"/>
  <c r="Q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Agnes Gruenfelder</author>
  </authors>
  <commentList>
    <comment ref="AC31" authorId="0" shapeId="0" xr:uid="{9FE1795A-1853-4243-B1A9-374B7DF669B5}">
      <text>
        <r>
          <rPr>
            <b/>
            <sz val="9"/>
            <color indexed="81"/>
            <rFont val="Segoe UI"/>
            <charset val="1"/>
          </rPr>
          <t>Agnes Gruenfelder:</t>
        </r>
        <r>
          <rPr>
            <sz val="9"/>
            <color indexed="81"/>
            <rFont val="Segoe UI"/>
            <charset val="1"/>
          </rPr>
          <t xml:space="preserve">
after several freeze/thaw cycles (LÜ)</t>
        </r>
      </text>
    </comment>
  </commentList>
</comments>
</file>

<file path=xl/sharedStrings.xml><?xml version="1.0" encoding="utf-8"?>
<sst xmlns="http://schemas.openxmlformats.org/spreadsheetml/2006/main" count="565" uniqueCount="163">
  <si>
    <t>EOTRH Proben</t>
  </si>
  <si>
    <t>LGC/Günther Brader Dez 2022</t>
  </si>
  <si>
    <t>Volume µl</t>
  </si>
  <si>
    <t>Amount ng</t>
  </si>
  <si>
    <t>Nanodrop w/o III-HRC</t>
  </si>
  <si>
    <t>Tape Station after III HRC</t>
  </si>
  <si>
    <t>µl Probe</t>
  </si>
  <si>
    <t>µl H2O</t>
  </si>
  <si>
    <t>ng total</t>
  </si>
  <si>
    <t>#</t>
  </si>
  <si>
    <t>Abbr</t>
  </si>
  <si>
    <t>Horse</t>
  </si>
  <si>
    <t>Type</t>
  </si>
  <si>
    <t>Tooth #</t>
  </si>
  <si>
    <t>Tooth location</t>
  </si>
  <si>
    <t>Replicate</t>
  </si>
  <si>
    <t>Gender</t>
  </si>
  <si>
    <t>Age</t>
  </si>
  <si>
    <t>disease state</t>
  </si>
  <si>
    <t>Sample mg</t>
  </si>
  <si>
    <t>Sampling date</t>
  </si>
  <si>
    <t>Isolation date</t>
  </si>
  <si>
    <t>Operator</t>
  </si>
  <si>
    <t>DNA µl</t>
  </si>
  <si>
    <t>Purity</t>
  </si>
  <si>
    <t>DNA ng</t>
  </si>
  <si>
    <t>DNA ng/µl</t>
  </si>
  <si>
    <t>DIN</t>
  </si>
  <si>
    <t>PCR-check/Date</t>
  </si>
  <si>
    <t>Plate Pos AG</t>
  </si>
  <si>
    <t>SeqPos GB</t>
  </si>
  <si>
    <t>KP1</t>
  </si>
  <si>
    <t>Kommi</t>
  </si>
  <si>
    <t>Plaque</t>
  </si>
  <si>
    <t>up left</t>
  </si>
  <si>
    <t>W</t>
  </si>
  <si>
    <t>healthy</t>
  </si>
  <si>
    <t>AG</t>
  </si>
  <si>
    <t>ok/21.11.22</t>
  </si>
  <si>
    <t>A1</t>
  </si>
  <si>
    <t>1H</t>
  </si>
  <si>
    <t>KP2</t>
  </si>
  <si>
    <t>up rigth</t>
  </si>
  <si>
    <t>B1</t>
  </si>
  <si>
    <t>2H</t>
  </si>
  <si>
    <t>KP3</t>
  </si>
  <si>
    <t>bot right</t>
  </si>
  <si>
    <t>C1</t>
  </si>
  <si>
    <t>3H</t>
  </si>
  <si>
    <t>TP1</t>
  </si>
  <si>
    <t>Threnna</t>
  </si>
  <si>
    <t>S</t>
  </si>
  <si>
    <t>onset</t>
  </si>
  <si>
    <t>D1</t>
  </si>
  <si>
    <t>4H</t>
  </si>
  <si>
    <t>TP2</t>
  </si>
  <si>
    <t>E1</t>
  </si>
  <si>
    <t>5H</t>
  </si>
  <si>
    <t>TP3</t>
  </si>
  <si>
    <t>F1</t>
  </si>
  <si>
    <t>6H</t>
  </si>
  <si>
    <t>TP4</t>
  </si>
  <si>
    <t>bot left</t>
  </si>
  <si>
    <t>-</t>
  </si>
  <si>
    <t>KF1</t>
  </si>
  <si>
    <t>Gum</t>
  </si>
  <si>
    <t>G1</t>
  </si>
  <si>
    <t>7H</t>
  </si>
  <si>
    <t>KF2</t>
  </si>
  <si>
    <t>KF3</t>
  </si>
  <si>
    <t>n.d.</t>
  </si>
  <si>
    <t>TF1</t>
  </si>
  <si>
    <t>H1</t>
  </si>
  <si>
    <t>8H</t>
  </si>
  <si>
    <t>TF2</t>
  </si>
  <si>
    <t>A2</t>
  </si>
  <si>
    <t>9H</t>
  </si>
  <si>
    <t>TF3</t>
  </si>
  <si>
    <t>EP1</t>
  </si>
  <si>
    <t>Eydis</t>
  </si>
  <si>
    <t>diseased</t>
  </si>
  <si>
    <t>B2</t>
  </si>
  <si>
    <t>10H</t>
  </si>
  <si>
    <t>EP2</t>
  </si>
  <si>
    <t>up right</t>
  </si>
  <si>
    <t>C2</t>
  </si>
  <si>
    <t>11H</t>
  </si>
  <si>
    <t>EP3</t>
  </si>
  <si>
    <t>D2</t>
  </si>
  <si>
    <t>12H</t>
  </si>
  <si>
    <t>EF1</t>
  </si>
  <si>
    <t>E2</t>
  </si>
  <si>
    <t>13H</t>
  </si>
  <si>
    <t>EF2</t>
  </si>
  <si>
    <t>F2</t>
  </si>
  <si>
    <t>14H</t>
  </si>
  <si>
    <t>EF3</t>
  </si>
  <si>
    <t>G2</t>
  </si>
  <si>
    <t>15H</t>
  </si>
  <si>
    <t>KS1</t>
  </si>
  <si>
    <t>Swab</t>
  </si>
  <si>
    <t>H2</t>
  </si>
  <si>
    <t>16H</t>
  </si>
  <si>
    <t>KS2</t>
  </si>
  <si>
    <t>A3</t>
  </si>
  <si>
    <t>17H</t>
  </si>
  <si>
    <t>KS3</t>
  </si>
  <si>
    <t>B3</t>
  </si>
  <si>
    <t>18H</t>
  </si>
  <si>
    <t>KP4</t>
  </si>
  <si>
    <t>ok/27.8.24</t>
  </si>
  <si>
    <t>KP5</t>
  </si>
  <si>
    <t>KP6</t>
  </si>
  <si>
    <t>EP4</t>
  </si>
  <si>
    <t>ok/7.9.22</t>
  </si>
  <si>
    <t>EP5</t>
  </si>
  <si>
    <t>EF4</t>
  </si>
  <si>
    <t>Kontrollproben (Reinstamm)</t>
  </si>
  <si>
    <t>DSM18512</t>
  </si>
  <si>
    <t>Aquincola tertiaricarbonis</t>
  </si>
  <si>
    <t>4 ml culture</t>
  </si>
  <si>
    <t>DSM20138</t>
  </si>
  <si>
    <t>Arthrobacter ilicis</t>
  </si>
  <si>
    <t>DSM1708</t>
  </si>
  <si>
    <t>Methylobacter mesophilicum</t>
  </si>
  <si>
    <t>DSM6412</t>
  </si>
  <si>
    <t>Pseudomonas putida</t>
  </si>
  <si>
    <t>DSM44108</t>
  </si>
  <si>
    <t>Rhodococcus zopfii</t>
  </si>
  <si>
    <t>DSM30083</t>
  </si>
  <si>
    <t>Escherichia coli</t>
  </si>
  <si>
    <t>15 ml culture</t>
  </si>
  <si>
    <t>Nanodrop after III-HRC</t>
  </si>
  <si>
    <t>Plaque (+ Gum)</t>
  </si>
  <si>
    <t>Pacher-Ptachnikova</t>
  </si>
  <si>
    <t>ok / 12.11.22</t>
  </si>
  <si>
    <t>Huber-Posch</t>
  </si>
  <si>
    <t>ok / 29.10.22</t>
  </si>
  <si>
    <t>Kacar-Mair</t>
  </si>
  <si>
    <t>Mayer-Rybar</t>
  </si>
  <si>
    <t>X</t>
  </si>
  <si>
    <t>Gojnic</t>
  </si>
  <si>
    <t>Eydis Extractions</t>
  </si>
  <si>
    <t>Date</t>
  </si>
  <si>
    <t>1.</t>
  </si>
  <si>
    <t>bottom left</t>
  </si>
  <si>
    <t>2.</t>
  </si>
  <si>
    <t>bottom, right</t>
  </si>
  <si>
    <t>3.</t>
  </si>
  <si>
    <t>upper left</t>
  </si>
  <si>
    <t>4.</t>
  </si>
  <si>
    <t>upper right</t>
  </si>
  <si>
    <t>Seq Pos</t>
  </si>
  <si>
    <t>H2O</t>
  </si>
  <si>
    <t>upper jaw left</t>
  </si>
  <si>
    <t>upper jaw rigth</t>
  </si>
  <si>
    <t>bottom jaw right</t>
  </si>
  <si>
    <t>upper jaw right</t>
  </si>
  <si>
    <t>uppper jaw left</t>
  </si>
  <si>
    <t>PK</t>
  </si>
  <si>
    <t>E. coli</t>
  </si>
  <si>
    <t>NK</t>
  </si>
  <si>
    <t>EOTRH Samples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</si>
</sst>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/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5" xfId="0" applyNumberFormat="1" applyBorder="1"/>
    <xf numFmtId="1" fontId="0" fillId="0" borderId="8" xfId="0" applyNumberFormat="1" applyBorder="1"/>
    <xf numFmtId="0" fontId="0" fillId="0" borderId="3" xfId="0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/>
    <xf numFmtId="0" fontId="1" fillId="0" borderId="4" xfId="0" quotePrefix="1" applyFont="1" applyBorder="1" applyAlignment="1">
      <alignment wrapText="1"/>
    </xf>
    <xf numFmtId="0" fontId="1" fillId="0" borderId="0" xfId="0" quotePrefix="1" applyFont="1" applyAlignment="1">
      <alignment wrapText="1"/>
    </xf>
    <xf numFmtId="0" fontId="1" fillId="0" borderId="0" xfId="0" applyFont="1"/>
    <xf numFmtId="0" fontId="0" fillId="0" borderId="0" xfId="0" applyAlignment="1">
      <alignment horizontal="right"/>
    </xf>
    <xf numFmtId="0" fontId="0" fillId="0" borderId="7" xfId="0" applyBorder="1" applyAlignment="1">
      <alignment horizontal="right"/>
    </xf>
    <xf numFmtId="14" fontId="0" fillId="0" borderId="7" xfId="0" applyNumberFormat="1" applyBorder="1"/>
    <xf numFmtId="0" fontId="3" fillId="0" borderId="4" xfId="0" applyFont="1" applyBorder="1"/>
    <xf numFmtId="0" fontId="3" fillId="0" borderId="0" xfId="0" applyFont="1"/>
    <xf numFmtId="14" fontId="3" fillId="0" borderId="0" xfId="0" applyNumberFormat="1" applyFont="1"/>
    <xf numFmtId="0" fontId="3" fillId="0" borderId="5" xfId="0" applyFont="1" applyBorder="1"/>
    <xf numFmtId="0" fontId="3" fillId="0" borderId="5" xfId="0" applyFont="1" applyBorder="1" applyAlignment="1">
      <alignment horizontal="right"/>
    </xf>
    <xf numFmtId="0" fontId="3" fillId="0" borderId="0" xfId="0" quotePrefix="1" applyFont="1"/>
    <xf numFmtId="0" fontId="3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1" fontId="0" fillId="0" borderId="0" xfId="0" applyNumberFormat="1"/>
    <xf numFmtId="0" fontId="0" fillId="0" borderId="4" xfId="0" quotePrefix="1" applyBorder="1"/>
    <xf numFmtId="0" fontId="0" fillId="0" borderId="3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0" xfId="0" quotePrefix="1" applyBorder="1"/>
    <xf numFmtId="0" fontId="0" fillId="0" borderId="6" xfId="0" quotePrefix="1" applyBorder="1"/>
    <xf numFmtId="0" fontId="0" fillId="0" borderId="11" xfId="0" quotePrefix="1" applyBorder="1"/>
    <xf numFmtId="1" fontId="3" fillId="0" borderId="0" xfId="0" applyNumberFormat="1" applyFont="1"/>
    <xf numFmtId="0" fontId="0" fillId="0" borderId="0" xfId="0" quotePrefix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14" fontId="1" fillId="0" borderId="0" xfId="0" applyNumberFormat="1" applyFont="1"/>
    <xf numFmtId="1" fontId="3" fillId="0" borderId="5" xfId="0" applyNumberFormat="1" applyFont="1" applyBorder="1"/>
    <xf numFmtId="0" fontId="2" fillId="0" borderId="4" xfId="0" applyFont="1" applyBorder="1"/>
    <xf numFmtId="14" fontId="0" fillId="0" borderId="1" xfId="0" applyNumberFormat="1" applyBorder="1"/>
    <xf numFmtId="0" fontId="0" fillId="0" borderId="1" xfId="0" quotePrefix="1" applyBorder="1"/>
    <xf numFmtId="1" fontId="0" fillId="0" borderId="2" xfId="0" applyNumberFormat="1" applyBorder="1"/>
    <xf numFmtId="0" fontId="0" fillId="0" borderId="7" xfId="0" quotePrefix="1" applyBorder="1"/>
    <xf numFmtId="0" fontId="6" fillId="0" borderId="4" xfId="0" applyFont="1" applyBorder="1"/>
    <xf numFmtId="0" fontId="6" fillId="0" borderId="0" xfId="0" applyFont="1"/>
    <xf numFmtId="0" fontId="6" fillId="0" borderId="0" xfId="0" applyFont="1" applyAlignment="1">
      <alignment horizontal="right"/>
    </xf>
    <xf numFmtId="14" fontId="6" fillId="0" borderId="0" xfId="0" applyNumberFormat="1" applyFont="1"/>
    <xf numFmtId="0" fontId="6" fillId="0" borderId="5" xfId="0" applyFont="1" applyBorder="1"/>
    <xf numFmtId="0" fontId="6" fillId="0" borderId="10" xfId="0" applyFont="1" applyBorder="1"/>
    <xf numFmtId="0" fontId="6" fillId="0" borderId="0" xfId="0" quotePrefix="1" applyFont="1"/>
    <xf numFmtId="1" fontId="6" fillId="0" borderId="5" xfId="0" applyNumberFormat="1" applyFont="1" applyBorder="1"/>
    <xf numFmtId="0" fontId="1" fillId="0" borderId="3" xfId="0" quotePrefix="1" applyFont="1" applyBorder="1" applyAlignment="1">
      <alignment wrapText="1"/>
    </xf>
    <xf numFmtId="0" fontId="1" fillId="0" borderId="1" xfId="0" quotePrefix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5C8B-B366-485B-A270-FB9DF13E7B39}">
  <dimension ref="A1:AD57"/>
  <sheetViews>
    <sheetView topLeftCell="A9" workbookViewId="0">
      <selection activeCell="S40" sqref="S40:U40"/>
    </sheetView>
  </sheetViews>
  <sheetFormatPr defaultColWidth="11.453125" defaultRowHeight="14.5" x14ac:dyDescent="0.35"/>
  <cols>
    <col min="1" max="1" width="3.81640625" customWidth="1"/>
    <col min="2" max="2" width="10.1796875" customWidth="1"/>
    <col min="3" max="3" width="8.36328125" customWidth="1"/>
    <col min="4" max="4" width="11.1796875" customWidth="1"/>
    <col min="5" max="6" width="7.453125" customWidth="1"/>
    <col min="7" max="7" width="9.36328125" customWidth="1"/>
    <col min="8" max="8" width="8.36328125" customWidth="1"/>
    <col min="9" max="9" width="4.453125" customWidth="1"/>
    <col min="10" max="10" width="12.453125" customWidth="1"/>
    <col min="11" max="11" width="10.81640625" customWidth="1"/>
    <col min="12" max="12" width="13.453125" customWidth="1"/>
    <col min="13" max="13" width="13.36328125" customWidth="1"/>
    <col min="14" max="14" width="9" customWidth="1"/>
    <col min="15" max="15" width="6.81640625" customWidth="1"/>
    <col min="16" max="16" width="6.1796875" customWidth="1"/>
    <col min="17" max="17" width="8.81640625" customWidth="1"/>
    <col min="18" max="18" width="10.81640625" customWidth="1"/>
    <col min="19" max="19" width="10.1796875" customWidth="1"/>
    <col min="20" max="21" width="8.81640625" customWidth="1"/>
    <col min="22" max="22" width="15.453125" customWidth="1"/>
    <col min="23" max="23" width="7.6328125" hidden="1" customWidth="1"/>
    <col min="24" max="24" width="6.453125" hidden="1" customWidth="1"/>
    <col min="25" max="25" width="7.36328125" hidden="1" customWidth="1"/>
    <col min="26" max="27" width="11.453125" hidden="1" customWidth="1"/>
    <col min="28" max="28" width="11.453125" customWidth="1"/>
  </cols>
  <sheetData>
    <row r="1" spans="1:30" ht="18.5" x14ac:dyDescent="0.45">
      <c r="A1" s="1" t="s">
        <v>0</v>
      </c>
    </row>
    <row r="2" spans="1:30" x14ac:dyDescent="0.35">
      <c r="W2" s="71" t="s">
        <v>1</v>
      </c>
      <c r="X2" s="72"/>
      <c r="Y2" s="72"/>
      <c r="Z2" s="72"/>
      <c r="AA2" s="73"/>
      <c r="AB2" s="20" t="s">
        <v>2</v>
      </c>
      <c r="AC2" s="20" t="s">
        <v>3</v>
      </c>
    </row>
    <row r="3" spans="1:30" x14ac:dyDescent="0.35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/>
      <c r="O3" s="17"/>
      <c r="P3" s="68" t="s">
        <v>4</v>
      </c>
      <c r="Q3" s="69"/>
      <c r="R3" s="70"/>
      <c r="S3" s="68" t="s">
        <v>5</v>
      </c>
      <c r="T3" s="69"/>
      <c r="U3" s="70"/>
      <c r="W3" s="47" t="s">
        <v>6</v>
      </c>
      <c r="X3" s="48" t="s">
        <v>7</v>
      </c>
      <c r="Y3" s="49" t="s">
        <v>8</v>
      </c>
      <c r="Z3" s="10"/>
      <c r="AA3" s="11"/>
      <c r="AB3" s="50">
        <v>45558</v>
      </c>
      <c r="AC3" s="50">
        <v>45558</v>
      </c>
      <c r="AD3" s="20"/>
    </row>
    <row r="4" spans="1:30" s="3" customFormat="1" ht="22.5" customHeight="1" x14ac:dyDescent="0.35">
      <c r="A4" s="18" t="s">
        <v>9</v>
      </c>
      <c r="B4" s="19" t="s">
        <v>10</v>
      </c>
      <c r="C4" s="2" t="s">
        <v>11</v>
      </c>
      <c r="D4" s="2" t="s">
        <v>12</v>
      </c>
      <c r="E4" s="2" t="s">
        <v>13</v>
      </c>
      <c r="F4" s="20" t="s">
        <v>14</v>
      </c>
      <c r="G4" s="2" t="s">
        <v>15</v>
      </c>
      <c r="H4" s="2" t="s">
        <v>16</v>
      </c>
      <c r="I4" s="2" t="s">
        <v>17</v>
      </c>
      <c r="J4" s="2" t="s">
        <v>18</v>
      </c>
      <c r="K4" s="2" t="s">
        <v>19</v>
      </c>
      <c r="L4" s="2" t="s">
        <v>20</v>
      </c>
      <c r="M4" s="2" t="s">
        <v>21</v>
      </c>
      <c r="N4" s="2" t="s">
        <v>22</v>
      </c>
      <c r="O4" s="6" t="s">
        <v>23</v>
      </c>
      <c r="P4" s="5" t="s">
        <v>24</v>
      </c>
      <c r="Q4" s="2" t="s">
        <v>25</v>
      </c>
      <c r="R4" s="6" t="s">
        <v>26</v>
      </c>
      <c r="S4" s="5" t="s">
        <v>26</v>
      </c>
      <c r="T4" s="2" t="s">
        <v>27</v>
      </c>
      <c r="U4" s="6" t="s">
        <v>25</v>
      </c>
      <c r="V4" s="2" t="s">
        <v>28</v>
      </c>
      <c r="W4" s="39"/>
      <c r="X4" s="40"/>
      <c r="Y4" s="41"/>
      <c r="Z4" s="32" t="s">
        <v>29</v>
      </c>
      <c r="AA4" s="33" t="s">
        <v>30</v>
      </c>
      <c r="AB4" s="32"/>
      <c r="AC4" s="41"/>
    </row>
    <row r="5" spans="1:30" x14ac:dyDescent="0.35">
      <c r="A5" s="7">
        <v>1</v>
      </c>
      <c r="B5" t="s">
        <v>31</v>
      </c>
      <c r="C5" t="s">
        <v>32</v>
      </c>
      <c r="D5" t="s">
        <v>33</v>
      </c>
      <c r="E5">
        <v>1</v>
      </c>
      <c r="F5" t="s">
        <v>34</v>
      </c>
      <c r="G5">
        <v>1</v>
      </c>
      <c r="H5" t="s">
        <v>35</v>
      </c>
      <c r="I5">
        <v>10</v>
      </c>
      <c r="J5" t="s">
        <v>36</v>
      </c>
      <c r="K5">
        <v>3</v>
      </c>
      <c r="L5" s="4">
        <v>44833</v>
      </c>
      <c r="M5" s="4">
        <v>44880</v>
      </c>
      <c r="N5" t="s">
        <v>37</v>
      </c>
      <c r="O5" s="8">
        <v>50</v>
      </c>
      <c r="P5" s="7">
        <v>1.7</v>
      </c>
      <c r="Q5">
        <f t="shared" ref="Q5:Q13" si="0">R5*O5</f>
        <v>400</v>
      </c>
      <c r="R5" s="8">
        <v>8</v>
      </c>
      <c r="S5" s="7">
        <v>8.56</v>
      </c>
      <c r="T5">
        <v>7.6</v>
      </c>
      <c r="U5" s="8">
        <f t="shared" ref="U5:U16" si="1">S5*O5</f>
        <v>428</v>
      </c>
      <c r="V5" s="4" t="s">
        <v>38</v>
      </c>
      <c r="W5" s="7">
        <v>15</v>
      </c>
      <c r="X5">
        <f>30-W5</f>
        <v>15</v>
      </c>
      <c r="Y5" s="12">
        <f>W5*S5</f>
        <v>128.4</v>
      </c>
      <c r="Z5" s="7" t="s">
        <v>39</v>
      </c>
      <c r="AA5" s="8" t="s">
        <v>40</v>
      </c>
      <c r="AB5" s="7">
        <f>50-W5</f>
        <v>35</v>
      </c>
      <c r="AC5" s="12">
        <f>U5-Y5</f>
        <v>299.60000000000002</v>
      </c>
    </row>
    <row r="6" spans="1:30" x14ac:dyDescent="0.35">
      <c r="A6" s="7">
        <v>2</v>
      </c>
      <c r="B6" t="s">
        <v>41</v>
      </c>
      <c r="C6" t="s">
        <v>32</v>
      </c>
      <c r="D6" t="s">
        <v>33</v>
      </c>
      <c r="E6">
        <v>2</v>
      </c>
      <c r="F6" t="s">
        <v>42</v>
      </c>
      <c r="G6">
        <v>2</v>
      </c>
      <c r="H6" t="s">
        <v>35</v>
      </c>
      <c r="I6">
        <v>10</v>
      </c>
      <c r="J6" t="s">
        <v>36</v>
      </c>
      <c r="K6">
        <v>5</v>
      </c>
      <c r="L6" s="4">
        <v>44833</v>
      </c>
      <c r="M6" s="4">
        <v>44880</v>
      </c>
      <c r="N6" t="s">
        <v>37</v>
      </c>
      <c r="O6" s="8">
        <v>50</v>
      </c>
      <c r="P6" s="7">
        <v>1.77</v>
      </c>
      <c r="Q6">
        <f t="shared" si="0"/>
        <v>1805</v>
      </c>
      <c r="R6" s="8">
        <v>36.1</v>
      </c>
      <c r="S6" s="7">
        <v>28</v>
      </c>
      <c r="T6">
        <v>6.7</v>
      </c>
      <c r="U6" s="8">
        <f t="shared" si="1"/>
        <v>1400</v>
      </c>
      <c r="V6" s="4" t="s">
        <v>38</v>
      </c>
      <c r="W6" s="7">
        <v>5</v>
      </c>
      <c r="X6">
        <f t="shared" ref="X6:X25" si="2">30-W6</f>
        <v>25</v>
      </c>
      <c r="Y6" s="12">
        <f t="shared" ref="Y6:Y25" si="3">W6*S6</f>
        <v>140</v>
      </c>
      <c r="Z6" s="7" t="s">
        <v>43</v>
      </c>
      <c r="AA6" s="8" t="s">
        <v>44</v>
      </c>
      <c r="AB6" s="7">
        <f t="shared" ref="AB6:AB30" si="4">50-W6</f>
        <v>45</v>
      </c>
      <c r="AC6" s="12">
        <f t="shared" ref="AC6:AC25" si="5">U6-Y6</f>
        <v>1260</v>
      </c>
    </row>
    <row r="7" spans="1:30" x14ac:dyDescent="0.35">
      <c r="A7" s="7">
        <v>3</v>
      </c>
      <c r="B7" t="s">
        <v>45</v>
      </c>
      <c r="C7" t="s">
        <v>32</v>
      </c>
      <c r="D7" t="s">
        <v>33</v>
      </c>
      <c r="E7">
        <v>3</v>
      </c>
      <c r="F7" t="s">
        <v>46</v>
      </c>
      <c r="G7">
        <v>3</v>
      </c>
      <c r="H7" t="s">
        <v>35</v>
      </c>
      <c r="I7">
        <v>10</v>
      </c>
      <c r="J7" t="s">
        <v>36</v>
      </c>
      <c r="K7">
        <v>3</v>
      </c>
      <c r="L7" s="4">
        <v>44833</v>
      </c>
      <c r="M7" s="4">
        <v>44880</v>
      </c>
      <c r="N7" t="s">
        <v>37</v>
      </c>
      <c r="O7" s="8">
        <v>50</v>
      </c>
      <c r="P7" s="7">
        <v>1.82</v>
      </c>
      <c r="Q7">
        <f t="shared" si="0"/>
        <v>1380</v>
      </c>
      <c r="R7" s="8">
        <v>27.6</v>
      </c>
      <c r="S7" s="7">
        <v>22.9</v>
      </c>
      <c r="T7">
        <v>6.8</v>
      </c>
      <c r="U7" s="8">
        <f t="shared" si="1"/>
        <v>1145</v>
      </c>
      <c r="V7" s="4" t="s">
        <v>38</v>
      </c>
      <c r="W7" s="7">
        <v>5</v>
      </c>
      <c r="X7">
        <f t="shared" si="2"/>
        <v>25</v>
      </c>
      <c r="Y7" s="12">
        <f t="shared" si="3"/>
        <v>114.5</v>
      </c>
      <c r="Z7" s="7" t="s">
        <v>47</v>
      </c>
      <c r="AA7" s="8" t="s">
        <v>48</v>
      </c>
      <c r="AB7" s="7">
        <f t="shared" si="4"/>
        <v>45</v>
      </c>
      <c r="AC7" s="12">
        <f t="shared" si="5"/>
        <v>1030.5</v>
      </c>
    </row>
    <row r="8" spans="1:30" x14ac:dyDescent="0.35">
      <c r="A8" s="7">
        <v>4</v>
      </c>
      <c r="B8" t="s">
        <v>49</v>
      </c>
      <c r="C8" t="s">
        <v>50</v>
      </c>
      <c r="D8" t="s">
        <v>33</v>
      </c>
      <c r="E8">
        <v>1</v>
      </c>
      <c r="F8" t="s">
        <v>34</v>
      </c>
      <c r="G8">
        <v>1</v>
      </c>
      <c r="H8" t="s">
        <v>51</v>
      </c>
      <c r="I8">
        <v>24</v>
      </c>
      <c r="J8" t="s">
        <v>52</v>
      </c>
      <c r="K8">
        <v>3</v>
      </c>
      <c r="L8" s="4">
        <v>44833</v>
      </c>
      <c r="M8" s="4">
        <v>44880</v>
      </c>
      <c r="N8" t="s">
        <v>37</v>
      </c>
      <c r="O8" s="8">
        <v>50</v>
      </c>
      <c r="P8" s="7">
        <v>1.54</v>
      </c>
      <c r="Q8">
        <f t="shared" si="0"/>
        <v>484.99999999999994</v>
      </c>
      <c r="R8" s="8">
        <v>9.6999999999999993</v>
      </c>
      <c r="S8" s="7">
        <v>8.5399999999999991</v>
      </c>
      <c r="T8">
        <v>7.1</v>
      </c>
      <c r="U8" s="8">
        <f t="shared" si="1"/>
        <v>426.99999999999994</v>
      </c>
      <c r="V8" s="4" t="s">
        <v>38</v>
      </c>
      <c r="W8" s="7">
        <v>15</v>
      </c>
      <c r="X8">
        <f t="shared" si="2"/>
        <v>15</v>
      </c>
      <c r="Y8" s="12">
        <f t="shared" si="3"/>
        <v>128.1</v>
      </c>
      <c r="Z8" s="7" t="s">
        <v>53</v>
      </c>
      <c r="AA8" s="8" t="s">
        <v>54</v>
      </c>
      <c r="AB8" s="7">
        <f t="shared" si="4"/>
        <v>35</v>
      </c>
      <c r="AC8" s="12">
        <f t="shared" si="5"/>
        <v>298.89999999999998</v>
      </c>
    </row>
    <row r="9" spans="1:30" x14ac:dyDescent="0.35">
      <c r="A9" s="7">
        <v>5</v>
      </c>
      <c r="B9" t="s">
        <v>55</v>
      </c>
      <c r="C9" t="s">
        <v>50</v>
      </c>
      <c r="D9" t="s">
        <v>33</v>
      </c>
      <c r="E9">
        <v>2</v>
      </c>
      <c r="F9" t="s">
        <v>42</v>
      </c>
      <c r="G9">
        <v>2</v>
      </c>
      <c r="H9" t="s">
        <v>51</v>
      </c>
      <c r="I9">
        <v>24</v>
      </c>
      <c r="J9" t="s">
        <v>52</v>
      </c>
      <c r="K9">
        <v>6</v>
      </c>
      <c r="L9" s="4">
        <v>44833</v>
      </c>
      <c r="M9" s="4">
        <v>44880</v>
      </c>
      <c r="N9" t="s">
        <v>37</v>
      </c>
      <c r="O9" s="8">
        <v>50</v>
      </c>
      <c r="P9" s="7">
        <v>1.79</v>
      </c>
      <c r="Q9">
        <f t="shared" si="0"/>
        <v>860</v>
      </c>
      <c r="R9" s="8">
        <v>17.2</v>
      </c>
      <c r="S9" s="7">
        <v>13.3</v>
      </c>
      <c r="T9">
        <v>7</v>
      </c>
      <c r="U9" s="8">
        <f t="shared" si="1"/>
        <v>665</v>
      </c>
      <c r="V9" s="4" t="s">
        <v>38</v>
      </c>
      <c r="W9" s="7">
        <v>10</v>
      </c>
      <c r="X9">
        <f t="shared" si="2"/>
        <v>20</v>
      </c>
      <c r="Y9" s="12">
        <f t="shared" si="3"/>
        <v>133</v>
      </c>
      <c r="Z9" s="7" t="s">
        <v>56</v>
      </c>
      <c r="AA9" s="8" t="s">
        <v>57</v>
      </c>
      <c r="AB9" s="7">
        <f t="shared" si="4"/>
        <v>40</v>
      </c>
      <c r="AC9" s="12">
        <f t="shared" si="5"/>
        <v>532</v>
      </c>
    </row>
    <row r="10" spans="1:30" x14ac:dyDescent="0.35">
      <c r="A10" s="7">
        <v>6</v>
      </c>
      <c r="B10" t="s">
        <v>58</v>
      </c>
      <c r="C10" t="s">
        <v>50</v>
      </c>
      <c r="D10" t="s">
        <v>33</v>
      </c>
      <c r="E10">
        <v>3</v>
      </c>
      <c r="F10" t="s">
        <v>46</v>
      </c>
      <c r="G10">
        <v>3</v>
      </c>
      <c r="H10" t="s">
        <v>51</v>
      </c>
      <c r="I10">
        <v>24</v>
      </c>
      <c r="J10" t="s">
        <v>52</v>
      </c>
      <c r="K10">
        <v>3</v>
      </c>
      <c r="L10" s="4">
        <v>44833</v>
      </c>
      <c r="M10" s="4">
        <v>44880</v>
      </c>
      <c r="N10" t="s">
        <v>37</v>
      </c>
      <c r="O10" s="8">
        <v>50</v>
      </c>
      <c r="P10" s="7">
        <v>1.67</v>
      </c>
      <c r="Q10">
        <f t="shared" si="0"/>
        <v>560</v>
      </c>
      <c r="R10" s="8">
        <v>11.2</v>
      </c>
      <c r="S10" s="7">
        <v>8.94</v>
      </c>
      <c r="T10">
        <v>7.5</v>
      </c>
      <c r="U10" s="8">
        <f t="shared" si="1"/>
        <v>447</v>
      </c>
      <c r="V10" s="4" t="s">
        <v>38</v>
      </c>
      <c r="W10" s="7">
        <v>15</v>
      </c>
      <c r="X10">
        <f t="shared" si="2"/>
        <v>15</v>
      </c>
      <c r="Y10" s="12">
        <f t="shared" si="3"/>
        <v>134.1</v>
      </c>
      <c r="Z10" s="7" t="s">
        <v>59</v>
      </c>
      <c r="AA10" s="8" t="s">
        <v>60</v>
      </c>
      <c r="AB10" s="7">
        <f t="shared" si="4"/>
        <v>35</v>
      </c>
      <c r="AC10" s="12">
        <f t="shared" si="5"/>
        <v>312.89999999999998</v>
      </c>
    </row>
    <row r="11" spans="1:30" s="25" customFormat="1" x14ac:dyDescent="0.35">
      <c r="A11" s="24">
        <v>7</v>
      </c>
      <c r="B11" s="25" t="s">
        <v>61</v>
      </c>
      <c r="C11" s="25" t="s">
        <v>50</v>
      </c>
      <c r="D11" s="25" t="s">
        <v>33</v>
      </c>
      <c r="E11" s="25">
        <v>4</v>
      </c>
      <c r="F11" s="25" t="s">
        <v>62</v>
      </c>
      <c r="G11" s="25">
        <v>4</v>
      </c>
      <c r="H11" s="25" t="s">
        <v>51</v>
      </c>
      <c r="I11" s="25">
        <v>24</v>
      </c>
      <c r="J11" s="25" t="s">
        <v>52</v>
      </c>
      <c r="K11" s="25">
        <v>3</v>
      </c>
      <c r="L11" s="26">
        <v>44833</v>
      </c>
      <c r="M11" s="26">
        <v>44880</v>
      </c>
      <c r="N11" s="25" t="s">
        <v>37</v>
      </c>
      <c r="O11" s="27">
        <v>50</v>
      </c>
      <c r="P11" s="24">
        <v>1.4</v>
      </c>
      <c r="Q11" s="25">
        <f t="shared" si="0"/>
        <v>240</v>
      </c>
      <c r="R11" s="27">
        <v>4.8</v>
      </c>
      <c r="S11" s="24">
        <v>1.1599999999999999</v>
      </c>
      <c r="T11" s="29" t="s">
        <v>63</v>
      </c>
      <c r="U11" s="27">
        <f t="shared" si="1"/>
        <v>57.999999999999993</v>
      </c>
      <c r="V11" s="4"/>
      <c r="W11" s="24"/>
      <c r="X11"/>
      <c r="Y11" s="12"/>
      <c r="Z11" s="24"/>
      <c r="AA11" s="27"/>
      <c r="AB11" s="24">
        <f t="shared" si="4"/>
        <v>50</v>
      </c>
      <c r="AC11" s="51">
        <f t="shared" si="5"/>
        <v>57.999999999999993</v>
      </c>
    </row>
    <row r="12" spans="1:30" x14ac:dyDescent="0.35">
      <c r="A12" s="7">
        <v>8</v>
      </c>
      <c r="B12" t="s">
        <v>64</v>
      </c>
      <c r="C12" t="s">
        <v>32</v>
      </c>
      <c r="D12" t="s">
        <v>65</v>
      </c>
      <c r="E12">
        <v>1</v>
      </c>
      <c r="F12" t="s">
        <v>34</v>
      </c>
      <c r="G12">
        <v>1</v>
      </c>
      <c r="H12" t="s">
        <v>35</v>
      </c>
      <c r="I12">
        <v>10</v>
      </c>
      <c r="J12" t="s">
        <v>36</v>
      </c>
      <c r="K12">
        <v>2</v>
      </c>
      <c r="L12" s="4">
        <v>44833</v>
      </c>
      <c r="M12" s="4">
        <v>44880</v>
      </c>
      <c r="N12" t="s">
        <v>37</v>
      </c>
      <c r="O12" s="8">
        <v>50</v>
      </c>
      <c r="P12" s="7">
        <v>1.68</v>
      </c>
      <c r="Q12">
        <f t="shared" si="0"/>
        <v>550</v>
      </c>
      <c r="R12" s="8">
        <v>11</v>
      </c>
      <c r="S12" s="7">
        <v>9.94</v>
      </c>
      <c r="T12">
        <v>7.6</v>
      </c>
      <c r="U12" s="8">
        <f t="shared" si="1"/>
        <v>497</v>
      </c>
      <c r="V12" s="4" t="s">
        <v>38</v>
      </c>
      <c r="W12" s="7">
        <v>12</v>
      </c>
      <c r="X12">
        <f t="shared" si="2"/>
        <v>18</v>
      </c>
      <c r="Y12" s="12">
        <f t="shared" si="3"/>
        <v>119.28</v>
      </c>
      <c r="Z12" s="7" t="s">
        <v>66</v>
      </c>
      <c r="AA12" s="8" t="s">
        <v>67</v>
      </c>
      <c r="AB12" s="7">
        <f t="shared" si="4"/>
        <v>38</v>
      </c>
      <c r="AC12" s="12">
        <f t="shared" si="5"/>
        <v>377.72</v>
      </c>
    </row>
    <row r="13" spans="1:30" s="25" customFormat="1" x14ac:dyDescent="0.35">
      <c r="A13" s="24">
        <v>9</v>
      </c>
      <c r="B13" s="25" t="s">
        <v>68</v>
      </c>
      <c r="C13" s="25" t="s">
        <v>32</v>
      </c>
      <c r="D13" s="25" t="s">
        <v>65</v>
      </c>
      <c r="E13" s="25">
        <v>2</v>
      </c>
      <c r="F13" s="25" t="s">
        <v>42</v>
      </c>
      <c r="G13" s="25">
        <v>2</v>
      </c>
      <c r="H13" s="25" t="s">
        <v>35</v>
      </c>
      <c r="I13" s="25">
        <v>10</v>
      </c>
      <c r="J13" s="25" t="s">
        <v>36</v>
      </c>
      <c r="K13" s="25">
        <v>1</v>
      </c>
      <c r="L13" s="26">
        <v>44833</v>
      </c>
      <c r="M13" s="26">
        <v>44880</v>
      </c>
      <c r="N13" s="25" t="s">
        <v>37</v>
      </c>
      <c r="O13" s="27">
        <v>50</v>
      </c>
      <c r="P13" s="24">
        <v>0.89</v>
      </c>
      <c r="Q13" s="25">
        <f t="shared" si="0"/>
        <v>55.000000000000007</v>
      </c>
      <c r="R13" s="27">
        <v>1.1000000000000001</v>
      </c>
      <c r="S13" s="24">
        <v>1.22</v>
      </c>
      <c r="T13" s="29" t="s">
        <v>63</v>
      </c>
      <c r="U13" s="27">
        <f t="shared" si="1"/>
        <v>61</v>
      </c>
      <c r="V13" s="4"/>
      <c r="W13" s="24"/>
      <c r="X13"/>
      <c r="Y13" s="12"/>
      <c r="Z13" s="24"/>
      <c r="AA13" s="27"/>
      <c r="AB13" s="24">
        <f t="shared" si="4"/>
        <v>50</v>
      </c>
      <c r="AC13" s="51">
        <f t="shared" si="5"/>
        <v>61</v>
      </c>
    </row>
    <row r="14" spans="1:30" s="25" customFormat="1" x14ac:dyDescent="0.35">
      <c r="A14" s="24"/>
      <c r="B14" s="25" t="s">
        <v>69</v>
      </c>
      <c r="C14" s="25" t="s">
        <v>32</v>
      </c>
      <c r="D14" s="25" t="s">
        <v>65</v>
      </c>
      <c r="E14" s="25">
        <v>3</v>
      </c>
      <c r="F14" s="25" t="s">
        <v>46</v>
      </c>
      <c r="G14" s="25">
        <v>3</v>
      </c>
      <c r="H14" s="25" t="s">
        <v>35</v>
      </c>
      <c r="I14" s="25">
        <v>10</v>
      </c>
      <c r="J14" s="25" t="s">
        <v>36</v>
      </c>
      <c r="K14" s="25">
        <v>1</v>
      </c>
      <c r="L14" s="26">
        <v>44833</v>
      </c>
      <c r="M14" s="26">
        <v>44880</v>
      </c>
      <c r="N14" s="25" t="s">
        <v>37</v>
      </c>
      <c r="O14" s="28">
        <v>50</v>
      </c>
      <c r="P14" s="30" t="s">
        <v>70</v>
      </c>
      <c r="Q14" s="31" t="s">
        <v>70</v>
      </c>
      <c r="R14" s="28" t="s">
        <v>70</v>
      </c>
      <c r="S14" s="30" t="s">
        <v>70</v>
      </c>
      <c r="T14" s="31" t="s">
        <v>70</v>
      </c>
      <c r="U14" s="27" t="s">
        <v>70</v>
      </c>
      <c r="V14" s="4"/>
      <c r="W14" s="24"/>
      <c r="X14"/>
      <c r="Y14" s="12"/>
      <c r="Z14" s="24"/>
      <c r="AA14" s="27"/>
      <c r="AB14" s="24">
        <f t="shared" si="4"/>
        <v>50</v>
      </c>
      <c r="AC14" s="12"/>
    </row>
    <row r="15" spans="1:30" x14ac:dyDescent="0.35">
      <c r="A15" s="7">
        <v>10</v>
      </c>
      <c r="B15" t="s">
        <v>71</v>
      </c>
      <c r="C15" t="s">
        <v>50</v>
      </c>
      <c r="D15" t="s">
        <v>65</v>
      </c>
      <c r="E15">
        <v>1</v>
      </c>
      <c r="F15" t="s">
        <v>34</v>
      </c>
      <c r="G15">
        <v>1</v>
      </c>
      <c r="H15" t="s">
        <v>51</v>
      </c>
      <c r="I15">
        <v>24</v>
      </c>
      <c r="J15" t="s">
        <v>52</v>
      </c>
      <c r="K15">
        <v>8</v>
      </c>
      <c r="L15" s="4">
        <v>44833</v>
      </c>
      <c r="M15" s="4">
        <v>44880</v>
      </c>
      <c r="N15" t="s">
        <v>37</v>
      </c>
      <c r="O15" s="8">
        <v>50</v>
      </c>
      <c r="P15" s="7">
        <v>1.75</v>
      </c>
      <c r="Q15">
        <f>R15*O15</f>
        <v>1210</v>
      </c>
      <c r="R15" s="8">
        <v>24.2</v>
      </c>
      <c r="S15" s="7">
        <v>16.5</v>
      </c>
      <c r="T15">
        <v>6.9</v>
      </c>
      <c r="U15" s="8">
        <f t="shared" si="1"/>
        <v>825</v>
      </c>
      <c r="V15" s="4" t="s">
        <v>38</v>
      </c>
      <c r="W15" s="7">
        <v>8</v>
      </c>
      <c r="X15">
        <f t="shared" si="2"/>
        <v>22</v>
      </c>
      <c r="Y15" s="12">
        <f t="shared" si="3"/>
        <v>132</v>
      </c>
      <c r="Z15" s="7" t="s">
        <v>72</v>
      </c>
      <c r="AA15" s="8" t="s">
        <v>73</v>
      </c>
      <c r="AB15" s="7">
        <f t="shared" si="4"/>
        <v>42</v>
      </c>
      <c r="AC15" s="12">
        <f t="shared" si="5"/>
        <v>693</v>
      </c>
    </row>
    <row r="16" spans="1:30" x14ac:dyDescent="0.35">
      <c r="A16" s="7">
        <v>11</v>
      </c>
      <c r="B16" t="s">
        <v>74</v>
      </c>
      <c r="C16" t="s">
        <v>50</v>
      </c>
      <c r="D16" t="s">
        <v>65</v>
      </c>
      <c r="E16">
        <v>2</v>
      </c>
      <c r="F16" t="s">
        <v>42</v>
      </c>
      <c r="G16">
        <v>2</v>
      </c>
      <c r="H16" t="s">
        <v>51</v>
      </c>
      <c r="I16">
        <v>24</v>
      </c>
      <c r="J16" t="s">
        <v>52</v>
      </c>
      <c r="K16">
        <v>6</v>
      </c>
      <c r="L16" s="4">
        <v>44833</v>
      </c>
      <c r="M16" s="4">
        <v>44880</v>
      </c>
      <c r="N16" t="s">
        <v>37</v>
      </c>
      <c r="O16" s="8">
        <v>50</v>
      </c>
      <c r="P16" s="7">
        <v>1.71</v>
      </c>
      <c r="Q16">
        <f>R16*O16</f>
        <v>1005.0000000000001</v>
      </c>
      <c r="R16" s="8">
        <v>20.100000000000001</v>
      </c>
      <c r="S16" s="7">
        <v>14.6</v>
      </c>
      <c r="T16">
        <v>7.3</v>
      </c>
      <c r="U16" s="8">
        <f t="shared" si="1"/>
        <v>730</v>
      </c>
      <c r="V16" s="4" t="s">
        <v>38</v>
      </c>
      <c r="W16" s="7">
        <v>8</v>
      </c>
      <c r="X16">
        <f t="shared" si="2"/>
        <v>22</v>
      </c>
      <c r="Y16" s="12">
        <f t="shared" si="3"/>
        <v>116.8</v>
      </c>
      <c r="Z16" s="7" t="s">
        <v>75</v>
      </c>
      <c r="AA16" s="8" t="s">
        <v>76</v>
      </c>
      <c r="AB16" s="7">
        <f t="shared" si="4"/>
        <v>42</v>
      </c>
      <c r="AC16" s="12">
        <f t="shared" si="5"/>
        <v>613.20000000000005</v>
      </c>
    </row>
    <row r="17" spans="1:29" s="25" customFormat="1" x14ac:dyDescent="0.35">
      <c r="A17" s="24"/>
      <c r="B17" s="25" t="s">
        <v>77</v>
      </c>
      <c r="C17" s="25" t="s">
        <v>50</v>
      </c>
      <c r="D17" s="25" t="s">
        <v>65</v>
      </c>
      <c r="E17" s="25">
        <v>3</v>
      </c>
      <c r="F17" s="25" t="s">
        <v>46</v>
      </c>
      <c r="G17" s="25">
        <v>3</v>
      </c>
      <c r="H17" s="25" t="s">
        <v>51</v>
      </c>
      <c r="I17" s="25">
        <v>24</v>
      </c>
      <c r="J17" s="25" t="s">
        <v>52</v>
      </c>
      <c r="K17" s="25">
        <v>7</v>
      </c>
      <c r="L17" s="26">
        <v>44833</v>
      </c>
      <c r="M17" s="26">
        <v>44880</v>
      </c>
      <c r="N17" s="25" t="s">
        <v>37</v>
      </c>
      <c r="O17" s="27"/>
      <c r="P17" s="24" t="s">
        <v>70</v>
      </c>
      <c r="Q17" s="25" t="s">
        <v>70</v>
      </c>
      <c r="R17" s="27" t="s">
        <v>70</v>
      </c>
      <c r="S17" s="24" t="s">
        <v>70</v>
      </c>
      <c r="T17" s="25" t="s">
        <v>70</v>
      </c>
      <c r="U17" s="27" t="s">
        <v>70</v>
      </c>
      <c r="V17" s="4"/>
      <c r="W17" s="24"/>
      <c r="X17"/>
      <c r="Y17" s="12"/>
      <c r="Z17" s="24"/>
      <c r="AA17" s="27"/>
      <c r="AB17" s="24">
        <f t="shared" si="4"/>
        <v>50</v>
      </c>
      <c r="AC17" s="12"/>
    </row>
    <row r="18" spans="1:29" x14ac:dyDescent="0.35">
      <c r="A18" s="7">
        <v>14</v>
      </c>
      <c r="B18" t="s">
        <v>78</v>
      </c>
      <c r="C18" t="s">
        <v>79</v>
      </c>
      <c r="D18" t="s">
        <v>33</v>
      </c>
      <c r="E18">
        <v>1</v>
      </c>
      <c r="F18" t="s">
        <v>34</v>
      </c>
      <c r="G18">
        <v>1</v>
      </c>
      <c r="H18" t="s">
        <v>51</v>
      </c>
      <c r="I18">
        <v>16</v>
      </c>
      <c r="J18" t="s">
        <v>80</v>
      </c>
      <c r="K18">
        <v>10</v>
      </c>
      <c r="L18" s="4">
        <v>44476</v>
      </c>
      <c r="M18" s="4">
        <v>44881</v>
      </c>
      <c r="N18" t="s">
        <v>37</v>
      </c>
      <c r="O18" s="8">
        <v>50</v>
      </c>
      <c r="P18" s="7">
        <v>1.82</v>
      </c>
      <c r="Q18">
        <f>R18*O18</f>
        <v>1260</v>
      </c>
      <c r="R18" s="8">
        <v>25.2</v>
      </c>
      <c r="S18" s="7">
        <v>21.5</v>
      </c>
      <c r="T18">
        <v>6.7</v>
      </c>
      <c r="U18" s="8">
        <f>S18*O18</f>
        <v>1075</v>
      </c>
      <c r="V18" s="4" t="s">
        <v>38</v>
      </c>
      <c r="W18" s="7">
        <v>5</v>
      </c>
      <c r="X18">
        <f t="shared" si="2"/>
        <v>25</v>
      </c>
      <c r="Y18" s="12">
        <f t="shared" si="3"/>
        <v>107.5</v>
      </c>
      <c r="Z18" s="7" t="s">
        <v>81</v>
      </c>
      <c r="AA18" s="8" t="s">
        <v>82</v>
      </c>
      <c r="AB18" s="7">
        <f t="shared" si="4"/>
        <v>45</v>
      </c>
      <c r="AC18" s="12">
        <f t="shared" si="5"/>
        <v>967.5</v>
      </c>
    </row>
    <row r="19" spans="1:29" x14ac:dyDescent="0.35">
      <c r="A19" s="7">
        <v>15</v>
      </c>
      <c r="B19" t="s">
        <v>83</v>
      </c>
      <c r="C19" t="s">
        <v>79</v>
      </c>
      <c r="D19" t="s">
        <v>33</v>
      </c>
      <c r="E19">
        <v>2</v>
      </c>
      <c r="F19" t="s">
        <v>84</v>
      </c>
      <c r="G19">
        <v>2</v>
      </c>
      <c r="H19" t="s">
        <v>51</v>
      </c>
      <c r="I19">
        <v>16</v>
      </c>
      <c r="J19" t="s">
        <v>80</v>
      </c>
      <c r="K19">
        <v>6</v>
      </c>
      <c r="L19" s="4">
        <v>44650</v>
      </c>
      <c r="M19" s="4">
        <v>44881</v>
      </c>
      <c r="N19" t="s">
        <v>37</v>
      </c>
      <c r="O19" s="8">
        <v>50</v>
      </c>
      <c r="P19" s="7">
        <v>1.84</v>
      </c>
      <c r="Q19">
        <f t="shared" ref="Q19:Q25" si="6">R19*O19</f>
        <v>935</v>
      </c>
      <c r="R19" s="8">
        <v>18.7</v>
      </c>
      <c r="S19" s="7">
        <v>17.600000000000001</v>
      </c>
      <c r="T19">
        <v>7.5</v>
      </c>
      <c r="U19" s="8">
        <f t="shared" ref="U19:U25" si="7">S19*O19</f>
        <v>880.00000000000011</v>
      </c>
      <c r="V19" s="4" t="s">
        <v>38</v>
      </c>
      <c r="W19" s="7">
        <v>8</v>
      </c>
      <c r="X19">
        <f t="shared" si="2"/>
        <v>22</v>
      </c>
      <c r="Y19" s="12">
        <f t="shared" si="3"/>
        <v>140.80000000000001</v>
      </c>
      <c r="Z19" s="7" t="s">
        <v>85</v>
      </c>
      <c r="AA19" s="8" t="s">
        <v>86</v>
      </c>
      <c r="AB19" s="7">
        <f t="shared" si="4"/>
        <v>42</v>
      </c>
      <c r="AC19" s="12">
        <f t="shared" si="5"/>
        <v>739.2</v>
      </c>
    </row>
    <row r="20" spans="1:29" x14ac:dyDescent="0.35">
      <c r="A20" s="7">
        <v>16</v>
      </c>
      <c r="B20" t="s">
        <v>87</v>
      </c>
      <c r="C20" t="s">
        <v>79</v>
      </c>
      <c r="D20" t="s">
        <v>33</v>
      </c>
      <c r="E20">
        <v>3</v>
      </c>
      <c r="F20" t="s">
        <v>84</v>
      </c>
      <c r="G20">
        <v>3</v>
      </c>
      <c r="H20" t="s">
        <v>51</v>
      </c>
      <c r="I20">
        <v>16</v>
      </c>
      <c r="J20" t="s">
        <v>80</v>
      </c>
      <c r="K20">
        <v>4</v>
      </c>
      <c r="L20" s="4">
        <v>44650</v>
      </c>
      <c r="M20" s="4">
        <v>44881</v>
      </c>
      <c r="N20" t="s">
        <v>37</v>
      </c>
      <c r="O20" s="8">
        <v>50</v>
      </c>
      <c r="P20" s="7">
        <v>1.79</v>
      </c>
      <c r="Q20">
        <f t="shared" si="6"/>
        <v>395</v>
      </c>
      <c r="R20" s="8">
        <v>7.9</v>
      </c>
      <c r="S20" s="7">
        <v>8.25</v>
      </c>
      <c r="T20">
        <v>6.8</v>
      </c>
      <c r="U20" s="8">
        <f t="shared" si="7"/>
        <v>412.5</v>
      </c>
      <c r="V20" s="4" t="s">
        <v>38</v>
      </c>
      <c r="W20" s="7">
        <v>15</v>
      </c>
      <c r="X20">
        <f t="shared" si="2"/>
        <v>15</v>
      </c>
      <c r="Y20" s="12">
        <f t="shared" si="3"/>
        <v>123.75</v>
      </c>
      <c r="Z20" s="7" t="s">
        <v>88</v>
      </c>
      <c r="AA20" s="8" t="s">
        <v>89</v>
      </c>
      <c r="AB20" s="7">
        <f t="shared" si="4"/>
        <v>35</v>
      </c>
      <c r="AC20" s="12">
        <f t="shared" si="5"/>
        <v>288.75</v>
      </c>
    </row>
    <row r="21" spans="1:29" x14ac:dyDescent="0.35">
      <c r="A21" s="7">
        <v>18</v>
      </c>
      <c r="B21" t="s">
        <v>90</v>
      </c>
      <c r="C21" t="s">
        <v>79</v>
      </c>
      <c r="D21" t="s">
        <v>65</v>
      </c>
      <c r="E21">
        <v>1</v>
      </c>
      <c r="F21" t="s">
        <v>34</v>
      </c>
      <c r="G21">
        <v>1</v>
      </c>
      <c r="H21" t="s">
        <v>51</v>
      </c>
      <c r="I21">
        <v>16</v>
      </c>
      <c r="J21" t="s">
        <v>80</v>
      </c>
      <c r="K21">
        <v>17</v>
      </c>
      <c r="L21" s="4">
        <v>44476</v>
      </c>
      <c r="M21" s="4">
        <v>44881</v>
      </c>
      <c r="N21" t="s">
        <v>37</v>
      </c>
      <c r="O21" s="8">
        <v>50</v>
      </c>
      <c r="P21" s="7">
        <v>1.77</v>
      </c>
      <c r="Q21">
        <f t="shared" si="6"/>
        <v>960</v>
      </c>
      <c r="R21" s="8">
        <v>19.2</v>
      </c>
      <c r="S21" s="7">
        <v>19</v>
      </c>
      <c r="T21">
        <v>6.9</v>
      </c>
      <c r="U21" s="8">
        <f t="shared" si="7"/>
        <v>950</v>
      </c>
      <c r="V21" s="4" t="s">
        <v>38</v>
      </c>
      <c r="W21" s="7">
        <v>8</v>
      </c>
      <c r="X21">
        <f t="shared" si="2"/>
        <v>22</v>
      </c>
      <c r="Y21" s="12">
        <f t="shared" si="3"/>
        <v>152</v>
      </c>
      <c r="Z21" s="7" t="s">
        <v>91</v>
      </c>
      <c r="AA21" s="8" t="s">
        <v>92</v>
      </c>
      <c r="AB21" s="7">
        <f t="shared" si="4"/>
        <v>42</v>
      </c>
      <c r="AC21" s="12">
        <f t="shared" si="5"/>
        <v>798</v>
      </c>
    </row>
    <row r="22" spans="1:29" x14ac:dyDescent="0.35">
      <c r="A22" s="7">
        <v>19</v>
      </c>
      <c r="B22" t="s">
        <v>93</v>
      </c>
      <c r="C22" t="s">
        <v>79</v>
      </c>
      <c r="D22" t="s">
        <v>65</v>
      </c>
      <c r="E22">
        <v>2</v>
      </c>
      <c r="F22" t="s">
        <v>84</v>
      </c>
      <c r="G22">
        <v>2</v>
      </c>
      <c r="H22" t="s">
        <v>51</v>
      </c>
      <c r="I22">
        <v>16</v>
      </c>
      <c r="J22" t="s">
        <v>80</v>
      </c>
      <c r="K22">
        <v>19</v>
      </c>
      <c r="L22" s="4">
        <v>44650</v>
      </c>
      <c r="M22" s="4">
        <v>44881</v>
      </c>
      <c r="N22" t="s">
        <v>37</v>
      </c>
      <c r="O22" s="8">
        <v>50</v>
      </c>
      <c r="P22" s="7">
        <v>1.86</v>
      </c>
      <c r="Q22">
        <f t="shared" si="6"/>
        <v>6480</v>
      </c>
      <c r="R22" s="8">
        <v>129.6</v>
      </c>
      <c r="S22" s="7">
        <v>115</v>
      </c>
      <c r="T22">
        <v>7.4</v>
      </c>
      <c r="U22" s="8">
        <f t="shared" si="7"/>
        <v>5750</v>
      </c>
      <c r="V22" s="4" t="s">
        <v>38</v>
      </c>
      <c r="W22" s="7">
        <v>1.5</v>
      </c>
      <c r="X22">
        <f t="shared" si="2"/>
        <v>28.5</v>
      </c>
      <c r="Y22" s="12">
        <f t="shared" si="3"/>
        <v>172.5</v>
      </c>
      <c r="Z22" s="7" t="s">
        <v>94</v>
      </c>
      <c r="AA22" s="8" t="s">
        <v>95</v>
      </c>
      <c r="AB22" s="7">
        <f t="shared" si="4"/>
        <v>48.5</v>
      </c>
      <c r="AC22" s="12">
        <f t="shared" si="5"/>
        <v>5577.5</v>
      </c>
    </row>
    <row r="23" spans="1:29" x14ac:dyDescent="0.35">
      <c r="A23" s="7">
        <v>21</v>
      </c>
      <c r="B23" t="s">
        <v>96</v>
      </c>
      <c r="C23" t="s">
        <v>79</v>
      </c>
      <c r="D23" t="s">
        <v>65</v>
      </c>
      <c r="E23">
        <v>3</v>
      </c>
      <c r="F23" t="s">
        <v>84</v>
      </c>
      <c r="G23">
        <v>3</v>
      </c>
      <c r="H23" t="s">
        <v>51</v>
      </c>
      <c r="I23">
        <v>16</v>
      </c>
      <c r="J23" t="s">
        <v>80</v>
      </c>
      <c r="K23">
        <v>17</v>
      </c>
      <c r="L23" s="4">
        <v>44650</v>
      </c>
      <c r="M23" s="4">
        <v>44881</v>
      </c>
      <c r="N23" t="s">
        <v>37</v>
      </c>
      <c r="O23" s="8">
        <v>50</v>
      </c>
      <c r="P23" s="7">
        <v>1.84</v>
      </c>
      <c r="Q23">
        <f t="shared" si="6"/>
        <v>3470.0000000000005</v>
      </c>
      <c r="R23" s="8">
        <v>69.400000000000006</v>
      </c>
      <c r="S23" s="7">
        <v>60.8</v>
      </c>
      <c r="T23">
        <v>7.4</v>
      </c>
      <c r="U23" s="8">
        <f t="shared" si="7"/>
        <v>3040</v>
      </c>
      <c r="V23" s="4" t="s">
        <v>38</v>
      </c>
      <c r="W23" s="7">
        <v>2</v>
      </c>
      <c r="X23">
        <f t="shared" si="2"/>
        <v>28</v>
      </c>
      <c r="Y23" s="12">
        <f t="shared" si="3"/>
        <v>121.6</v>
      </c>
      <c r="Z23" s="7" t="s">
        <v>97</v>
      </c>
      <c r="AA23" s="8" t="s">
        <v>98</v>
      </c>
      <c r="AB23" s="7">
        <f t="shared" si="4"/>
        <v>48</v>
      </c>
      <c r="AC23" s="12">
        <f t="shared" si="5"/>
        <v>2918.4</v>
      </c>
    </row>
    <row r="24" spans="1:29" x14ac:dyDescent="0.35">
      <c r="A24" s="7">
        <v>22</v>
      </c>
      <c r="B24" t="s">
        <v>99</v>
      </c>
      <c r="C24" t="s">
        <v>32</v>
      </c>
      <c r="D24" t="s">
        <v>100</v>
      </c>
      <c r="E24">
        <v>1</v>
      </c>
      <c r="F24" t="s">
        <v>46</v>
      </c>
      <c r="G24">
        <v>1</v>
      </c>
      <c r="H24" t="s">
        <v>35</v>
      </c>
      <c r="I24">
        <v>10</v>
      </c>
      <c r="J24" t="s">
        <v>36</v>
      </c>
      <c r="K24" s="21" t="s">
        <v>70</v>
      </c>
      <c r="L24" s="4">
        <v>44880</v>
      </c>
      <c r="M24" s="4">
        <v>44881</v>
      </c>
      <c r="N24" t="s">
        <v>37</v>
      </c>
      <c r="O24" s="8">
        <v>50</v>
      </c>
      <c r="P24" s="7">
        <v>1.76</v>
      </c>
      <c r="Q24">
        <f t="shared" si="6"/>
        <v>850</v>
      </c>
      <c r="R24" s="8">
        <v>17</v>
      </c>
      <c r="S24" s="7">
        <v>17.399999999999999</v>
      </c>
      <c r="T24">
        <v>6.8</v>
      </c>
      <c r="U24" s="8">
        <f t="shared" si="7"/>
        <v>869.99999999999989</v>
      </c>
      <c r="V24" s="4" t="s">
        <v>38</v>
      </c>
      <c r="W24" s="7">
        <v>8</v>
      </c>
      <c r="X24">
        <f t="shared" si="2"/>
        <v>22</v>
      </c>
      <c r="Y24" s="12">
        <f t="shared" si="3"/>
        <v>139.19999999999999</v>
      </c>
      <c r="Z24" s="7" t="s">
        <v>101</v>
      </c>
      <c r="AA24" s="8" t="s">
        <v>102</v>
      </c>
      <c r="AB24" s="7">
        <f t="shared" si="4"/>
        <v>42</v>
      </c>
      <c r="AC24" s="12">
        <f t="shared" si="5"/>
        <v>730.8</v>
      </c>
    </row>
    <row r="25" spans="1:29" x14ac:dyDescent="0.35">
      <c r="A25" s="7">
        <v>23</v>
      </c>
      <c r="B25" t="s">
        <v>103</v>
      </c>
      <c r="C25" t="s">
        <v>32</v>
      </c>
      <c r="D25" t="s">
        <v>100</v>
      </c>
      <c r="E25">
        <v>2</v>
      </c>
      <c r="F25" t="s">
        <v>62</v>
      </c>
      <c r="G25">
        <v>2</v>
      </c>
      <c r="H25" t="s">
        <v>35</v>
      </c>
      <c r="I25">
        <v>10</v>
      </c>
      <c r="J25" t="s">
        <v>36</v>
      </c>
      <c r="K25" s="21" t="s">
        <v>70</v>
      </c>
      <c r="L25" s="4">
        <v>44880</v>
      </c>
      <c r="M25" s="4">
        <v>44881</v>
      </c>
      <c r="N25" t="s">
        <v>37</v>
      </c>
      <c r="O25" s="8">
        <v>50</v>
      </c>
      <c r="P25" s="7">
        <v>1.8</v>
      </c>
      <c r="Q25">
        <f t="shared" si="6"/>
        <v>1240</v>
      </c>
      <c r="R25" s="8">
        <v>24.8</v>
      </c>
      <c r="S25" s="7">
        <v>21.6</v>
      </c>
      <c r="T25">
        <v>6.4</v>
      </c>
      <c r="U25" s="8">
        <f t="shared" si="7"/>
        <v>1080</v>
      </c>
      <c r="V25" s="4" t="s">
        <v>38</v>
      </c>
      <c r="W25" s="7">
        <v>5</v>
      </c>
      <c r="X25">
        <f t="shared" si="2"/>
        <v>25</v>
      </c>
      <c r="Y25" s="12">
        <f t="shared" si="3"/>
        <v>108</v>
      </c>
      <c r="Z25" s="7" t="s">
        <v>104</v>
      </c>
      <c r="AA25" s="8" t="s">
        <v>105</v>
      </c>
      <c r="AB25" s="7">
        <f t="shared" si="4"/>
        <v>45</v>
      </c>
      <c r="AC25" s="12">
        <f t="shared" si="5"/>
        <v>972</v>
      </c>
    </row>
    <row r="26" spans="1:29" x14ac:dyDescent="0.35">
      <c r="A26">
        <v>24</v>
      </c>
      <c r="B26" t="s">
        <v>106</v>
      </c>
      <c r="C26" t="s">
        <v>32</v>
      </c>
      <c r="D26" t="s">
        <v>100</v>
      </c>
      <c r="E26">
        <v>3</v>
      </c>
      <c r="F26" t="s">
        <v>84</v>
      </c>
      <c r="G26">
        <v>3</v>
      </c>
      <c r="H26" t="s">
        <v>35</v>
      </c>
      <c r="I26">
        <v>10</v>
      </c>
      <c r="J26" t="s">
        <v>36</v>
      </c>
      <c r="K26" s="21" t="s">
        <v>70</v>
      </c>
      <c r="L26" s="4">
        <v>44880</v>
      </c>
      <c r="M26" s="4">
        <v>44881</v>
      </c>
      <c r="N26" t="s">
        <v>37</v>
      </c>
      <c r="O26">
        <v>50</v>
      </c>
      <c r="P26">
        <v>1.83</v>
      </c>
      <c r="Q26">
        <f>R26*O26</f>
        <v>740</v>
      </c>
      <c r="R26">
        <v>14.8</v>
      </c>
      <c r="S26">
        <v>15.5</v>
      </c>
      <c r="T26">
        <v>6.5</v>
      </c>
      <c r="U26">
        <f t="shared" ref="U26:U31" si="8">S26*O26</f>
        <v>775</v>
      </c>
      <c r="V26" s="4" t="s">
        <v>38</v>
      </c>
      <c r="W26" s="7">
        <v>8</v>
      </c>
      <c r="X26">
        <f>30-W26</f>
        <v>22</v>
      </c>
      <c r="Y26" s="37">
        <f>W26*S26</f>
        <v>124</v>
      </c>
      <c r="Z26" t="s">
        <v>107</v>
      </c>
      <c r="AA26" s="8" t="s">
        <v>108</v>
      </c>
      <c r="AB26" s="7">
        <f t="shared" si="4"/>
        <v>42</v>
      </c>
      <c r="AC26" s="12">
        <f>U26-Y26</f>
        <v>651</v>
      </c>
    </row>
    <row r="27" spans="1:29" x14ac:dyDescent="0.35">
      <c r="A27" s="7">
        <v>25</v>
      </c>
      <c r="B27" t="s">
        <v>109</v>
      </c>
      <c r="C27" t="s">
        <v>32</v>
      </c>
      <c r="D27" t="s">
        <v>33</v>
      </c>
      <c r="E27">
        <v>1</v>
      </c>
      <c r="F27" t="s">
        <v>84</v>
      </c>
      <c r="G27">
        <v>4</v>
      </c>
      <c r="H27" t="s">
        <v>35</v>
      </c>
      <c r="I27">
        <v>10</v>
      </c>
      <c r="J27" t="s">
        <v>36</v>
      </c>
      <c r="K27" s="21" t="s">
        <v>70</v>
      </c>
      <c r="L27" s="4">
        <v>45435</v>
      </c>
      <c r="M27" s="4">
        <v>45530</v>
      </c>
      <c r="N27" t="s">
        <v>37</v>
      </c>
      <c r="O27">
        <v>50</v>
      </c>
      <c r="P27" s="24" t="s">
        <v>70</v>
      </c>
      <c r="Q27" s="25" t="s">
        <v>70</v>
      </c>
      <c r="R27" s="27" t="s">
        <v>70</v>
      </c>
      <c r="S27" s="7">
        <v>36.5</v>
      </c>
      <c r="T27">
        <v>7.1</v>
      </c>
      <c r="U27" s="8">
        <f t="shared" si="8"/>
        <v>1825</v>
      </c>
      <c r="V27" t="s">
        <v>110</v>
      </c>
      <c r="W27" s="38"/>
      <c r="X27" s="38"/>
      <c r="Y27" s="38"/>
      <c r="Z27" s="38"/>
      <c r="AA27" s="42"/>
      <c r="AB27" s="7">
        <f t="shared" si="4"/>
        <v>50</v>
      </c>
      <c r="AC27" s="12">
        <f t="shared" ref="AC27:AC32" si="9">U27</f>
        <v>1825</v>
      </c>
    </row>
    <row r="28" spans="1:29" x14ac:dyDescent="0.35">
      <c r="A28" s="7">
        <v>26</v>
      </c>
      <c r="B28" t="s">
        <v>111</v>
      </c>
      <c r="C28" t="s">
        <v>32</v>
      </c>
      <c r="D28" t="s">
        <v>33</v>
      </c>
      <c r="E28">
        <v>2</v>
      </c>
      <c r="F28" t="s">
        <v>34</v>
      </c>
      <c r="G28">
        <v>5</v>
      </c>
      <c r="H28" t="s">
        <v>35</v>
      </c>
      <c r="I28">
        <v>10</v>
      </c>
      <c r="J28" t="s">
        <v>36</v>
      </c>
      <c r="K28" s="21" t="s">
        <v>70</v>
      </c>
      <c r="L28" s="4">
        <v>45435</v>
      </c>
      <c r="M28" s="4">
        <v>45530</v>
      </c>
      <c r="N28" t="s">
        <v>37</v>
      </c>
      <c r="O28">
        <v>50</v>
      </c>
      <c r="P28" s="24" t="s">
        <v>70</v>
      </c>
      <c r="Q28" s="25" t="s">
        <v>70</v>
      </c>
      <c r="R28" s="27" t="s">
        <v>70</v>
      </c>
      <c r="S28" s="7">
        <v>39.299999999999997</v>
      </c>
      <c r="T28">
        <v>7.1</v>
      </c>
      <c r="U28" s="8">
        <f t="shared" si="8"/>
        <v>1964.9999999999998</v>
      </c>
      <c r="V28" t="s">
        <v>110</v>
      </c>
      <c r="W28" s="38"/>
      <c r="X28" s="38"/>
      <c r="Y28" s="38"/>
      <c r="Z28" s="38"/>
      <c r="AA28" s="42"/>
      <c r="AB28" s="7">
        <f t="shared" si="4"/>
        <v>50</v>
      </c>
      <c r="AC28" s="12">
        <f t="shared" si="9"/>
        <v>1964.9999999999998</v>
      </c>
    </row>
    <row r="29" spans="1:29" x14ac:dyDescent="0.35">
      <c r="A29" s="7">
        <v>27</v>
      </c>
      <c r="B29" t="s">
        <v>112</v>
      </c>
      <c r="C29" t="s">
        <v>32</v>
      </c>
      <c r="D29" t="s">
        <v>33</v>
      </c>
      <c r="E29">
        <v>3</v>
      </c>
      <c r="F29" t="s">
        <v>34</v>
      </c>
      <c r="G29">
        <v>6</v>
      </c>
      <c r="H29" t="s">
        <v>35</v>
      </c>
      <c r="I29">
        <v>10</v>
      </c>
      <c r="J29" t="s">
        <v>36</v>
      </c>
      <c r="K29" s="21" t="s">
        <v>70</v>
      </c>
      <c r="L29" s="4">
        <v>45435</v>
      </c>
      <c r="M29" s="4">
        <v>45530</v>
      </c>
      <c r="N29" t="s">
        <v>37</v>
      </c>
      <c r="O29">
        <v>50</v>
      </c>
      <c r="P29" s="24" t="s">
        <v>70</v>
      </c>
      <c r="Q29" s="25" t="s">
        <v>70</v>
      </c>
      <c r="R29" s="27" t="s">
        <v>70</v>
      </c>
      <c r="S29" s="7">
        <v>32.700000000000003</v>
      </c>
      <c r="T29">
        <v>7</v>
      </c>
      <c r="U29" s="8">
        <f t="shared" si="8"/>
        <v>1635.0000000000002</v>
      </c>
      <c r="V29" t="s">
        <v>110</v>
      </c>
      <c r="W29" s="38"/>
      <c r="X29" s="38"/>
      <c r="Y29" s="38"/>
      <c r="Z29" s="38"/>
      <c r="AA29" s="42"/>
      <c r="AB29" s="7">
        <f t="shared" si="4"/>
        <v>50</v>
      </c>
      <c r="AC29" s="12">
        <f t="shared" si="9"/>
        <v>1635.0000000000002</v>
      </c>
    </row>
    <row r="30" spans="1:29" x14ac:dyDescent="0.35">
      <c r="A30">
        <v>28</v>
      </c>
      <c r="B30" t="s">
        <v>113</v>
      </c>
      <c r="C30" t="s">
        <v>79</v>
      </c>
      <c r="D30" t="s">
        <v>33</v>
      </c>
      <c r="E30">
        <v>1</v>
      </c>
      <c r="F30" t="s">
        <v>34</v>
      </c>
      <c r="G30">
        <v>4</v>
      </c>
      <c r="H30" t="s">
        <v>51</v>
      </c>
      <c r="I30">
        <v>16</v>
      </c>
      <c r="J30" t="s">
        <v>80</v>
      </c>
      <c r="K30" s="21">
        <v>17</v>
      </c>
      <c r="L30" s="4">
        <v>44476</v>
      </c>
      <c r="M30" s="4">
        <v>44810</v>
      </c>
      <c r="N30" t="s">
        <v>37</v>
      </c>
      <c r="O30">
        <v>50</v>
      </c>
      <c r="P30">
        <v>1.71</v>
      </c>
      <c r="R30">
        <v>10.3</v>
      </c>
      <c r="S30">
        <v>12.9</v>
      </c>
      <c r="T30">
        <v>6.7</v>
      </c>
      <c r="U30">
        <f t="shared" si="8"/>
        <v>645</v>
      </c>
      <c r="V30" t="s">
        <v>114</v>
      </c>
      <c r="W30" s="38"/>
      <c r="X30" s="38"/>
      <c r="Y30" s="38"/>
      <c r="Z30" s="38"/>
      <c r="AA30" s="42"/>
      <c r="AB30" s="7">
        <f t="shared" si="4"/>
        <v>50</v>
      </c>
      <c r="AC30" s="12">
        <f t="shared" si="9"/>
        <v>645</v>
      </c>
    </row>
    <row r="31" spans="1:29" x14ac:dyDescent="0.35">
      <c r="A31">
        <v>29</v>
      </c>
      <c r="B31" t="s">
        <v>115</v>
      </c>
      <c r="C31" t="s">
        <v>79</v>
      </c>
      <c r="D31" t="s">
        <v>33</v>
      </c>
      <c r="E31">
        <v>1</v>
      </c>
      <c r="F31" t="s">
        <v>34</v>
      </c>
      <c r="G31">
        <v>5</v>
      </c>
      <c r="H31" t="s">
        <v>51</v>
      </c>
      <c r="I31">
        <v>16</v>
      </c>
      <c r="J31" t="s">
        <v>80</v>
      </c>
      <c r="K31" s="21" t="s">
        <v>70</v>
      </c>
      <c r="L31" s="4">
        <v>44476</v>
      </c>
      <c r="M31" s="4">
        <v>45530</v>
      </c>
      <c r="N31" t="s">
        <v>37</v>
      </c>
      <c r="O31">
        <v>50</v>
      </c>
      <c r="P31" s="24" t="s">
        <v>70</v>
      </c>
      <c r="Q31" s="25" t="s">
        <v>70</v>
      </c>
      <c r="R31" s="27" t="s">
        <v>70</v>
      </c>
      <c r="S31">
        <v>40.700000000000003</v>
      </c>
      <c r="T31">
        <v>6.8</v>
      </c>
      <c r="U31">
        <f t="shared" si="8"/>
        <v>2035.0000000000002</v>
      </c>
      <c r="V31" t="s">
        <v>110</v>
      </c>
      <c r="W31" s="38"/>
      <c r="X31" s="38"/>
      <c r="Y31" s="38"/>
      <c r="Z31" s="38"/>
      <c r="AA31" s="42"/>
      <c r="AB31" s="7">
        <v>50</v>
      </c>
      <c r="AC31" s="12">
        <f t="shared" si="9"/>
        <v>2035.0000000000002</v>
      </c>
    </row>
    <row r="32" spans="1:29" x14ac:dyDescent="0.35">
      <c r="A32" s="7">
        <v>30</v>
      </c>
      <c r="B32" t="s">
        <v>116</v>
      </c>
      <c r="C32" t="s">
        <v>79</v>
      </c>
      <c r="D32" t="s">
        <v>65</v>
      </c>
      <c r="E32">
        <v>1</v>
      </c>
      <c r="F32" t="s">
        <v>34</v>
      </c>
      <c r="G32">
        <v>4</v>
      </c>
      <c r="H32" t="s">
        <v>51</v>
      </c>
      <c r="I32">
        <v>16</v>
      </c>
      <c r="J32" t="s">
        <v>80</v>
      </c>
      <c r="K32" s="21">
        <v>17</v>
      </c>
      <c r="L32" s="4">
        <v>44476</v>
      </c>
      <c r="M32" s="4">
        <v>44810</v>
      </c>
      <c r="N32" t="s">
        <v>37</v>
      </c>
      <c r="O32">
        <v>50</v>
      </c>
      <c r="P32" s="7">
        <v>1.89</v>
      </c>
      <c r="R32" s="8">
        <v>102.1</v>
      </c>
      <c r="S32" s="7">
        <v>68.599999999999994</v>
      </c>
      <c r="T32">
        <v>6.3</v>
      </c>
      <c r="U32" s="8">
        <f>S32*O32</f>
        <v>3429.9999999999995</v>
      </c>
      <c r="V32" t="s">
        <v>114</v>
      </c>
      <c r="W32" s="43"/>
      <c r="X32" s="43"/>
      <c r="Y32" s="43"/>
      <c r="Z32" s="43"/>
      <c r="AA32" s="44"/>
      <c r="AB32" s="9">
        <f>50-W32</f>
        <v>50</v>
      </c>
      <c r="AC32" s="13">
        <f t="shared" si="9"/>
        <v>3429.9999999999995</v>
      </c>
    </row>
    <row r="33" spans="1:29" x14ac:dyDescent="0.35">
      <c r="A33" s="7"/>
      <c r="K33" s="21"/>
      <c r="L33" s="4"/>
      <c r="M33" s="4"/>
      <c r="P33" s="7"/>
      <c r="R33" s="8"/>
      <c r="S33" s="7"/>
      <c r="U33" s="8"/>
      <c r="W33" s="46"/>
      <c r="X33" s="46"/>
      <c r="Y33" s="46"/>
      <c r="Z33" s="46"/>
      <c r="AA33" s="46"/>
      <c r="AC33" s="37"/>
    </row>
    <row r="34" spans="1:29" ht="18.5" x14ac:dyDescent="0.45">
      <c r="A34" s="52" t="s">
        <v>117</v>
      </c>
      <c r="K34" s="21"/>
      <c r="L34" s="4"/>
      <c r="M34" s="4"/>
      <c r="P34" s="7"/>
      <c r="R34" s="8"/>
      <c r="S34" s="7"/>
      <c r="U34" s="8"/>
      <c r="W34" s="46"/>
      <c r="X34" s="46"/>
      <c r="Y34" s="46"/>
      <c r="Z34" s="46"/>
      <c r="AA34" s="46"/>
      <c r="AC34" s="37"/>
    </row>
    <row r="35" spans="1:29" x14ac:dyDescent="0.35">
      <c r="A35" s="14">
        <v>31</v>
      </c>
      <c r="B35" s="15" t="s">
        <v>118</v>
      </c>
      <c r="C35" s="15" t="s">
        <v>119</v>
      </c>
      <c r="D35" s="15"/>
      <c r="E35" s="15"/>
      <c r="F35" s="15"/>
      <c r="G35" s="15"/>
      <c r="H35" s="15"/>
      <c r="I35" s="15"/>
      <c r="J35" s="15"/>
      <c r="K35" s="16" t="s">
        <v>120</v>
      </c>
      <c r="L35" s="53">
        <v>41711</v>
      </c>
      <c r="M35" s="53">
        <v>45574</v>
      </c>
      <c r="N35" s="15" t="s">
        <v>37</v>
      </c>
      <c r="O35" s="15">
        <v>50</v>
      </c>
      <c r="P35" s="14" t="s">
        <v>70</v>
      </c>
      <c r="Q35" s="15" t="s">
        <v>70</v>
      </c>
      <c r="R35" s="17" t="s">
        <v>70</v>
      </c>
      <c r="S35" s="14">
        <v>4.1900000000000004</v>
      </c>
      <c r="T35" s="15">
        <v>7.2</v>
      </c>
      <c r="U35" s="17">
        <f t="shared" ref="U35:U40" si="10">S35*O35</f>
        <v>209.50000000000003</v>
      </c>
      <c r="V35" s="34"/>
      <c r="W35" s="54"/>
      <c r="X35" s="54"/>
      <c r="Y35" s="54"/>
      <c r="Z35" s="54"/>
      <c r="AA35" s="54"/>
      <c r="AB35" s="14">
        <v>50</v>
      </c>
      <c r="AC35" s="55">
        <f>U35</f>
        <v>209.50000000000003</v>
      </c>
    </row>
    <row r="36" spans="1:29" x14ac:dyDescent="0.35">
      <c r="A36" s="57">
        <v>32</v>
      </c>
      <c r="B36" s="58" t="s">
        <v>121</v>
      </c>
      <c r="C36" s="58" t="s">
        <v>122</v>
      </c>
      <c r="D36" s="58"/>
      <c r="E36" s="58"/>
      <c r="F36" s="58"/>
      <c r="G36" s="58"/>
      <c r="H36" s="58"/>
      <c r="I36" s="58"/>
      <c r="J36" s="58"/>
      <c r="K36" s="59" t="s">
        <v>120</v>
      </c>
      <c r="L36" s="60">
        <v>41711</v>
      </c>
      <c r="M36" s="60">
        <v>45574</v>
      </c>
      <c r="N36" s="58" t="s">
        <v>37</v>
      </c>
      <c r="O36" s="58">
        <v>50</v>
      </c>
      <c r="P36" s="57" t="s">
        <v>70</v>
      </c>
      <c r="Q36" s="58" t="s">
        <v>70</v>
      </c>
      <c r="R36" s="61" t="s">
        <v>70</v>
      </c>
      <c r="S36" s="57">
        <v>39.299999999999997</v>
      </c>
      <c r="T36" s="58">
        <v>4.2</v>
      </c>
      <c r="U36" s="61">
        <f t="shared" si="10"/>
        <v>1964.9999999999998</v>
      </c>
      <c r="V36" s="62"/>
      <c r="W36" s="63"/>
      <c r="X36" s="63"/>
      <c r="Y36" s="63"/>
      <c r="Z36" s="63"/>
      <c r="AA36" s="63"/>
      <c r="AB36" s="57">
        <v>50</v>
      </c>
      <c r="AC36" s="64">
        <f t="shared" ref="AC36:AC40" si="11">U36</f>
        <v>1964.9999999999998</v>
      </c>
    </row>
    <row r="37" spans="1:29" x14ac:dyDescent="0.35">
      <c r="A37" s="7">
        <v>33</v>
      </c>
      <c r="B37" t="s">
        <v>123</v>
      </c>
      <c r="C37" t="s">
        <v>124</v>
      </c>
      <c r="K37" s="21" t="s">
        <v>120</v>
      </c>
      <c r="L37" s="4">
        <v>41711</v>
      </c>
      <c r="M37" s="4">
        <v>45574</v>
      </c>
      <c r="N37" t="s">
        <v>37</v>
      </c>
      <c r="O37">
        <v>50</v>
      </c>
      <c r="P37" s="7" t="s">
        <v>70</v>
      </c>
      <c r="Q37" t="s">
        <v>70</v>
      </c>
      <c r="R37" s="8" t="s">
        <v>70</v>
      </c>
      <c r="S37" s="7">
        <v>93.3</v>
      </c>
      <c r="T37">
        <v>7.7</v>
      </c>
      <c r="U37" s="8">
        <f t="shared" si="10"/>
        <v>4665</v>
      </c>
      <c r="V37" s="35"/>
      <c r="W37" s="46"/>
      <c r="X37" s="46"/>
      <c r="Y37" s="46"/>
      <c r="Z37" s="46"/>
      <c r="AA37" s="46"/>
      <c r="AB37" s="7">
        <v>50</v>
      </c>
      <c r="AC37" s="12">
        <f t="shared" si="11"/>
        <v>4665</v>
      </c>
    </row>
    <row r="38" spans="1:29" x14ac:dyDescent="0.35">
      <c r="A38" s="7">
        <v>34</v>
      </c>
      <c r="B38" t="s">
        <v>125</v>
      </c>
      <c r="C38" t="s">
        <v>126</v>
      </c>
      <c r="K38" s="21" t="s">
        <v>120</v>
      </c>
      <c r="L38" s="4">
        <v>41711</v>
      </c>
      <c r="M38" s="4">
        <v>45574</v>
      </c>
      <c r="N38" t="s">
        <v>37</v>
      </c>
      <c r="O38">
        <v>50</v>
      </c>
      <c r="P38" s="7" t="s">
        <v>70</v>
      </c>
      <c r="Q38" t="s">
        <v>70</v>
      </c>
      <c r="R38" s="8" t="s">
        <v>70</v>
      </c>
      <c r="S38" s="7">
        <v>96.8</v>
      </c>
      <c r="T38">
        <v>6.5</v>
      </c>
      <c r="U38" s="8">
        <f t="shared" si="10"/>
        <v>4840</v>
      </c>
      <c r="V38" s="35"/>
      <c r="W38" s="46"/>
      <c r="X38" s="46"/>
      <c r="Y38" s="46"/>
      <c r="Z38" s="46"/>
      <c r="AA38" s="46"/>
      <c r="AB38" s="7">
        <v>50</v>
      </c>
      <c r="AC38" s="12">
        <f t="shared" si="11"/>
        <v>4840</v>
      </c>
    </row>
    <row r="39" spans="1:29" x14ac:dyDescent="0.35">
      <c r="A39" s="7">
        <v>35</v>
      </c>
      <c r="B39" t="s">
        <v>127</v>
      </c>
      <c r="C39" t="s">
        <v>128</v>
      </c>
      <c r="K39" s="21" t="s">
        <v>120</v>
      </c>
      <c r="L39" s="4">
        <v>41711</v>
      </c>
      <c r="M39" s="4">
        <v>45574</v>
      </c>
      <c r="N39" t="s">
        <v>37</v>
      </c>
      <c r="O39">
        <v>50</v>
      </c>
      <c r="P39" s="7" t="s">
        <v>70</v>
      </c>
      <c r="Q39" t="s">
        <v>70</v>
      </c>
      <c r="R39" s="8" t="s">
        <v>70</v>
      </c>
      <c r="S39" s="7">
        <v>26.2</v>
      </c>
      <c r="T39">
        <v>7.1</v>
      </c>
      <c r="U39" s="8">
        <f t="shared" si="10"/>
        <v>1310</v>
      </c>
      <c r="V39" s="35"/>
      <c r="W39" s="46"/>
      <c r="X39" s="46"/>
      <c r="Y39" s="46"/>
      <c r="Z39" s="46"/>
      <c r="AA39" s="46"/>
      <c r="AB39" s="7">
        <v>50</v>
      </c>
      <c r="AC39" s="12">
        <f t="shared" si="11"/>
        <v>1310</v>
      </c>
    </row>
    <row r="40" spans="1:29" x14ac:dyDescent="0.35">
      <c r="A40" s="9">
        <v>36</v>
      </c>
      <c r="B40" s="10" t="s">
        <v>129</v>
      </c>
      <c r="C40" s="10" t="s">
        <v>130</v>
      </c>
      <c r="D40" s="10"/>
      <c r="E40" s="10"/>
      <c r="F40" s="10"/>
      <c r="G40" s="10"/>
      <c r="H40" s="10"/>
      <c r="I40" s="10"/>
      <c r="J40" s="10"/>
      <c r="K40" s="22" t="s">
        <v>131</v>
      </c>
      <c r="L40" s="23">
        <v>45574</v>
      </c>
      <c r="M40" s="23">
        <v>45574</v>
      </c>
      <c r="N40" s="10" t="s">
        <v>37</v>
      </c>
      <c r="O40" s="10">
        <v>50</v>
      </c>
      <c r="P40" s="9" t="s">
        <v>70</v>
      </c>
      <c r="Q40" s="10" t="s">
        <v>70</v>
      </c>
      <c r="R40" s="11" t="s">
        <v>70</v>
      </c>
      <c r="S40" s="9">
        <v>181</v>
      </c>
      <c r="T40" s="10">
        <v>8.4</v>
      </c>
      <c r="U40" s="11">
        <f t="shared" si="10"/>
        <v>9050</v>
      </c>
      <c r="V40" s="36"/>
      <c r="W40" s="56"/>
      <c r="X40" s="56"/>
      <c r="Y40" s="56"/>
      <c r="Z40" s="56"/>
      <c r="AA40" s="56"/>
      <c r="AB40" s="9">
        <v>50</v>
      </c>
      <c r="AC40" s="13">
        <f t="shared" si="11"/>
        <v>9050</v>
      </c>
    </row>
    <row r="41" spans="1:29" x14ac:dyDescent="0.35">
      <c r="A41" s="7"/>
      <c r="K41" s="21"/>
      <c r="L41" s="4"/>
      <c r="M41" s="4"/>
      <c r="P41" s="7"/>
      <c r="R41" s="8"/>
      <c r="S41" s="7"/>
      <c r="U41" s="8"/>
      <c r="W41" s="46"/>
      <c r="X41" s="46"/>
      <c r="Y41" s="46"/>
      <c r="Z41" s="46"/>
      <c r="AA41" s="46"/>
      <c r="AC41" s="37"/>
    </row>
    <row r="42" spans="1:29" x14ac:dyDescent="0.35">
      <c r="A42" s="7"/>
      <c r="K42" s="21"/>
      <c r="L42" s="4"/>
      <c r="M42" s="4"/>
      <c r="P42" s="7"/>
      <c r="R42" s="8"/>
      <c r="S42" s="7"/>
      <c r="U42" s="8"/>
      <c r="W42" s="46"/>
      <c r="X42" s="46"/>
      <c r="Y42" s="46"/>
      <c r="Z42" s="46"/>
      <c r="AA42" s="46"/>
      <c r="AC42" s="37"/>
    </row>
    <row r="43" spans="1:29" x14ac:dyDescent="0.35">
      <c r="A43" s="7"/>
      <c r="K43" s="21"/>
      <c r="L43" s="4"/>
      <c r="M43" s="4"/>
      <c r="P43" s="7"/>
      <c r="R43" s="8"/>
      <c r="S43" s="7"/>
      <c r="U43" s="8"/>
      <c r="W43" s="46"/>
      <c r="X43" s="46"/>
      <c r="Y43" s="46"/>
      <c r="Z43" s="46"/>
      <c r="AA43" s="46"/>
      <c r="AC43" s="37"/>
    </row>
    <row r="44" spans="1:29" x14ac:dyDescent="0.35">
      <c r="A44" s="7"/>
      <c r="K44" s="21"/>
      <c r="L44" s="4"/>
      <c r="M44" s="4"/>
      <c r="P44" s="7"/>
      <c r="R44" s="8"/>
      <c r="S44" s="7"/>
      <c r="U44" s="8"/>
      <c r="W44" s="46"/>
      <c r="X44" s="46"/>
      <c r="Y44" s="46"/>
      <c r="Z44" s="46"/>
      <c r="AA44" s="46"/>
      <c r="AC44" s="37"/>
    </row>
    <row r="45" spans="1:29" x14ac:dyDescent="0.35">
      <c r="A45" s="1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7"/>
      <c r="P45" s="68" t="s">
        <v>132</v>
      </c>
      <c r="Q45" s="69"/>
      <c r="R45" s="70"/>
      <c r="S45" s="68" t="s">
        <v>5</v>
      </c>
      <c r="T45" s="69"/>
      <c r="U45" s="70"/>
      <c r="V45" s="34"/>
    </row>
    <row r="46" spans="1:29" x14ac:dyDescent="0.35">
      <c r="A46" s="7"/>
      <c r="C46" t="s">
        <v>79</v>
      </c>
      <c r="D46" t="s">
        <v>133</v>
      </c>
      <c r="E46">
        <v>4</v>
      </c>
      <c r="H46" t="s">
        <v>51</v>
      </c>
      <c r="I46">
        <v>16</v>
      </c>
      <c r="J46" t="s">
        <v>80</v>
      </c>
      <c r="M46" s="4">
        <v>44877</v>
      </c>
      <c r="N46" t="s">
        <v>134</v>
      </c>
      <c r="O46" s="8">
        <v>95</v>
      </c>
      <c r="P46" s="7"/>
      <c r="R46" s="8">
        <v>50.5</v>
      </c>
      <c r="S46" s="7">
        <v>47.7</v>
      </c>
      <c r="T46">
        <v>7.3</v>
      </c>
      <c r="U46" s="12">
        <f>S46*O46</f>
        <v>4531.5</v>
      </c>
      <c r="V46" s="35" t="s">
        <v>135</v>
      </c>
    </row>
    <row r="47" spans="1:29" x14ac:dyDescent="0.35">
      <c r="A47" s="7"/>
      <c r="C47" t="s">
        <v>79</v>
      </c>
      <c r="D47" t="s">
        <v>65</v>
      </c>
      <c r="E47">
        <v>4</v>
      </c>
      <c r="H47" t="s">
        <v>51</v>
      </c>
      <c r="I47">
        <v>16</v>
      </c>
      <c r="J47" t="s">
        <v>80</v>
      </c>
      <c r="M47" s="4">
        <v>44863</v>
      </c>
      <c r="N47" t="s">
        <v>136</v>
      </c>
      <c r="O47" s="8">
        <v>95</v>
      </c>
      <c r="P47" s="7"/>
      <c r="R47" s="8">
        <v>74.900000000000006</v>
      </c>
      <c r="S47" s="7">
        <v>54.8</v>
      </c>
      <c r="T47">
        <v>7.6</v>
      </c>
      <c r="U47" s="12">
        <f t="shared" ref="U47:U50" si="12">S47*O47</f>
        <v>5206</v>
      </c>
      <c r="V47" s="35" t="s">
        <v>137</v>
      </c>
    </row>
    <row r="48" spans="1:29" x14ac:dyDescent="0.35">
      <c r="A48" s="7"/>
      <c r="C48" t="s">
        <v>79</v>
      </c>
      <c r="D48" t="s">
        <v>133</v>
      </c>
      <c r="E48">
        <v>5</v>
      </c>
      <c r="H48" t="s">
        <v>51</v>
      </c>
      <c r="I48">
        <v>16</v>
      </c>
      <c r="J48" t="s">
        <v>80</v>
      </c>
      <c r="M48" s="4">
        <v>44863</v>
      </c>
      <c r="N48" t="s">
        <v>138</v>
      </c>
      <c r="O48" s="8">
        <v>95</v>
      </c>
      <c r="P48" s="7"/>
      <c r="R48" s="8">
        <v>20.7</v>
      </c>
      <c r="S48" s="7">
        <v>18.8</v>
      </c>
      <c r="T48">
        <v>7.3</v>
      </c>
      <c r="U48" s="12">
        <f t="shared" si="12"/>
        <v>1786</v>
      </c>
      <c r="V48" s="35" t="s">
        <v>137</v>
      </c>
    </row>
    <row r="49" spans="1:22" x14ac:dyDescent="0.35">
      <c r="A49" s="7"/>
      <c r="C49" t="s">
        <v>79</v>
      </c>
      <c r="D49" t="s">
        <v>65</v>
      </c>
      <c r="E49">
        <v>5</v>
      </c>
      <c r="H49" t="s">
        <v>51</v>
      </c>
      <c r="I49">
        <v>16</v>
      </c>
      <c r="J49" t="s">
        <v>80</v>
      </c>
      <c r="M49" s="4">
        <v>44877</v>
      </c>
      <c r="N49" t="s">
        <v>139</v>
      </c>
      <c r="O49" s="8">
        <v>95</v>
      </c>
      <c r="P49" s="7"/>
      <c r="R49" s="8">
        <v>34.299999999999997</v>
      </c>
      <c r="S49" s="7">
        <v>31.3</v>
      </c>
      <c r="T49">
        <v>6.8</v>
      </c>
      <c r="U49" s="12">
        <f t="shared" si="12"/>
        <v>2973.5</v>
      </c>
      <c r="V49" s="35" t="s">
        <v>135</v>
      </c>
    </row>
    <row r="50" spans="1:22" x14ac:dyDescent="0.35">
      <c r="A50" s="9"/>
      <c r="B50" s="10"/>
      <c r="C50" s="10" t="s">
        <v>79</v>
      </c>
      <c r="D50" s="10" t="s">
        <v>65</v>
      </c>
      <c r="E50" s="22" t="s">
        <v>140</v>
      </c>
      <c r="F50" s="10"/>
      <c r="G50" s="10"/>
      <c r="H50" s="10" t="s">
        <v>51</v>
      </c>
      <c r="I50" s="10">
        <v>16</v>
      </c>
      <c r="J50" s="10" t="s">
        <v>80</v>
      </c>
      <c r="K50" s="10"/>
      <c r="L50" s="10"/>
      <c r="M50" s="23">
        <v>44863</v>
      </c>
      <c r="N50" s="10" t="s">
        <v>141</v>
      </c>
      <c r="O50" s="11">
        <v>95</v>
      </c>
      <c r="P50" s="9"/>
      <c r="Q50" s="10"/>
      <c r="R50" s="11">
        <v>27.4</v>
      </c>
      <c r="S50" s="9">
        <v>30.2</v>
      </c>
      <c r="T50" s="10">
        <v>7</v>
      </c>
      <c r="U50" s="13">
        <f t="shared" si="12"/>
        <v>2869</v>
      </c>
      <c r="V50" s="36" t="s">
        <v>137</v>
      </c>
    </row>
    <row r="53" spans="1:22" x14ac:dyDescent="0.35">
      <c r="B53" t="s">
        <v>142</v>
      </c>
      <c r="D53" t="s">
        <v>143</v>
      </c>
    </row>
    <row r="54" spans="1:22" x14ac:dyDescent="0.35">
      <c r="A54" t="s">
        <v>144</v>
      </c>
      <c r="B54" t="s">
        <v>145</v>
      </c>
      <c r="D54" s="4">
        <v>44147</v>
      </c>
    </row>
    <row r="55" spans="1:22" x14ac:dyDescent="0.35">
      <c r="A55" t="s">
        <v>146</v>
      </c>
      <c r="B55" t="s">
        <v>147</v>
      </c>
      <c r="D55" s="4">
        <v>44292</v>
      </c>
    </row>
    <row r="56" spans="1:22" x14ac:dyDescent="0.35">
      <c r="A56" t="s">
        <v>148</v>
      </c>
      <c r="B56" t="s">
        <v>149</v>
      </c>
      <c r="D56" s="4">
        <v>44476</v>
      </c>
    </row>
    <row r="57" spans="1:22" x14ac:dyDescent="0.35">
      <c r="A57" t="s">
        <v>150</v>
      </c>
      <c r="B57" t="s">
        <v>151</v>
      </c>
      <c r="D57" s="4">
        <v>44650</v>
      </c>
    </row>
  </sheetData>
  <mergeCells count="5">
    <mergeCell ref="P3:R3"/>
    <mergeCell ref="S3:U3"/>
    <mergeCell ref="P45:R45"/>
    <mergeCell ref="S45:U45"/>
    <mergeCell ref="W2:AA2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75DAB-B520-4492-8187-86576EE3DE2D}">
  <dimension ref="A1:AJ29"/>
  <sheetViews>
    <sheetView tabSelected="1" workbookViewId="0">
      <selection activeCell="L5" sqref="L5"/>
    </sheetView>
  </sheetViews>
  <sheetFormatPr defaultColWidth="11.453125" defaultRowHeight="14.5" x14ac:dyDescent="0.35"/>
  <cols>
    <col min="1" max="1" width="7.81640625" customWidth="1"/>
    <col min="2" max="2" width="5.1796875" bestFit="1" customWidth="1"/>
    <col min="3" max="3" width="8.6328125" customWidth="1"/>
    <col min="4" max="4" width="7.1796875" customWidth="1"/>
    <col min="5" max="5" width="7.36328125" customWidth="1"/>
    <col min="6" max="6" width="15.6328125" customWidth="1"/>
    <col min="7" max="7" width="9.1796875" customWidth="1"/>
    <col min="8" max="8" width="8" customWidth="1"/>
    <col min="9" max="9" width="4.36328125" customWidth="1"/>
    <col min="10" max="10" width="13.453125" customWidth="1"/>
    <col min="11" max="11" width="5.81640625" customWidth="1"/>
    <col min="12" max="35" width="11.453125" customWidth="1"/>
    <col min="36" max="36" width="7.6328125" customWidth="1"/>
  </cols>
  <sheetData>
    <row r="1" spans="1:36" ht="18.5" x14ac:dyDescent="0.45">
      <c r="A1" s="1" t="s">
        <v>162</v>
      </c>
    </row>
    <row r="2" spans="1:36" x14ac:dyDescent="0.35">
      <c r="A2" s="65" t="s">
        <v>152</v>
      </c>
      <c r="B2" s="66" t="s">
        <v>10</v>
      </c>
      <c r="C2" s="67" t="s">
        <v>11</v>
      </c>
      <c r="D2" s="67" t="s">
        <v>12</v>
      </c>
      <c r="E2" s="67" t="s">
        <v>13</v>
      </c>
      <c r="F2" s="67" t="s">
        <v>14</v>
      </c>
      <c r="G2" s="67" t="s">
        <v>15</v>
      </c>
      <c r="H2" s="67" t="s">
        <v>16</v>
      </c>
      <c r="I2" s="67" t="s">
        <v>17</v>
      </c>
      <c r="J2" s="67" t="s">
        <v>18</v>
      </c>
      <c r="K2" s="67" t="s">
        <v>27</v>
      </c>
    </row>
    <row r="3" spans="1:36" x14ac:dyDescent="0.35">
      <c r="A3" s="7">
        <v>1</v>
      </c>
      <c r="B3" t="s">
        <v>31</v>
      </c>
      <c r="C3" t="s">
        <v>32</v>
      </c>
      <c r="D3" t="s">
        <v>33</v>
      </c>
      <c r="E3">
        <v>1</v>
      </c>
      <c r="F3" t="s">
        <v>154</v>
      </c>
      <c r="G3">
        <v>1</v>
      </c>
      <c r="H3" t="s">
        <v>35</v>
      </c>
      <c r="I3">
        <v>10</v>
      </c>
      <c r="J3" t="s">
        <v>36</v>
      </c>
      <c r="K3">
        <v>7.6</v>
      </c>
      <c r="T3" s="4"/>
      <c r="U3" s="4"/>
      <c r="AD3" s="4"/>
      <c r="AG3" s="37"/>
      <c r="AJ3" s="37"/>
    </row>
    <row r="4" spans="1:36" x14ac:dyDescent="0.35">
      <c r="A4" s="7">
        <v>2</v>
      </c>
      <c r="B4" t="s">
        <v>41</v>
      </c>
      <c r="C4" t="s">
        <v>32</v>
      </c>
      <c r="D4" t="s">
        <v>33</v>
      </c>
      <c r="E4">
        <v>2</v>
      </c>
      <c r="F4" t="s">
        <v>155</v>
      </c>
      <c r="G4">
        <v>2</v>
      </c>
      <c r="H4" t="s">
        <v>35</v>
      </c>
      <c r="I4">
        <v>10</v>
      </c>
      <c r="J4" t="s">
        <v>36</v>
      </c>
      <c r="K4">
        <v>6.7</v>
      </c>
      <c r="T4" s="4"/>
      <c r="U4" s="4"/>
      <c r="AD4" s="4"/>
      <c r="AG4" s="37"/>
      <c r="AJ4" s="37"/>
    </row>
    <row r="5" spans="1:36" x14ac:dyDescent="0.35">
      <c r="A5" s="7">
        <v>3</v>
      </c>
      <c r="B5" t="s">
        <v>45</v>
      </c>
      <c r="C5" t="s">
        <v>32</v>
      </c>
      <c r="D5" t="s">
        <v>33</v>
      </c>
      <c r="E5">
        <v>3</v>
      </c>
      <c r="F5" t="s">
        <v>156</v>
      </c>
      <c r="G5">
        <v>3</v>
      </c>
      <c r="H5" t="s">
        <v>35</v>
      </c>
      <c r="I5">
        <v>10</v>
      </c>
      <c r="J5" t="s">
        <v>36</v>
      </c>
      <c r="K5">
        <v>6.8</v>
      </c>
      <c r="T5" s="4"/>
      <c r="U5" s="4"/>
      <c r="AD5" s="4"/>
      <c r="AG5" s="37"/>
      <c r="AJ5" s="37"/>
    </row>
    <row r="6" spans="1:36" x14ac:dyDescent="0.35">
      <c r="A6" s="7">
        <v>4</v>
      </c>
      <c r="B6" t="s">
        <v>109</v>
      </c>
      <c r="C6" t="s">
        <v>32</v>
      </c>
      <c r="D6" t="s">
        <v>33</v>
      </c>
      <c r="E6">
        <v>1</v>
      </c>
      <c r="F6" t="s">
        <v>84</v>
      </c>
      <c r="G6">
        <v>4</v>
      </c>
      <c r="H6" t="s">
        <v>35</v>
      </c>
      <c r="I6">
        <v>10</v>
      </c>
      <c r="J6" t="s">
        <v>36</v>
      </c>
      <c r="K6">
        <v>7.1</v>
      </c>
      <c r="T6" s="4"/>
      <c r="U6" s="4"/>
      <c r="AD6" s="4"/>
      <c r="AG6" s="37"/>
      <c r="AJ6" s="37"/>
    </row>
    <row r="7" spans="1:36" x14ac:dyDescent="0.35">
      <c r="A7" s="7">
        <v>5</v>
      </c>
      <c r="B7" t="s">
        <v>111</v>
      </c>
      <c r="C7" t="s">
        <v>32</v>
      </c>
      <c r="D7" t="s">
        <v>33</v>
      </c>
      <c r="E7">
        <v>2</v>
      </c>
      <c r="F7" t="s">
        <v>34</v>
      </c>
      <c r="G7">
        <v>5</v>
      </c>
      <c r="H7" t="s">
        <v>35</v>
      </c>
      <c r="I7">
        <v>10</v>
      </c>
      <c r="J7" t="s">
        <v>36</v>
      </c>
      <c r="K7">
        <v>7.1</v>
      </c>
      <c r="T7" s="4"/>
      <c r="U7" s="4"/>
      <c r="AD7" s="4"/>
      <c r="AG7" s="37"/>
      <c r="AJ7" s="37"/>
    </row>
    <row r="8" spans="1:36" x14ac:dyDescent="0.35">
      <c r="A8" s="7">
        <v>6</v>
      </c>
      <c r="B8" t="s">
        <v>112</v>
      </c>
      <c r="C8" t="s">
        <v>32</v>
      </c>
      <c r="D8" t="s">
        <v>33</v>
      </c>
      <c r="E8">
        <v>3</v>
      </c>
      <c r="F8" t="s">
        <v>34</v>
      </c>
      <c r="G8">
        <v>6</v>
      </c>
      <c r="H8" t="s">
        <v>35</v>
      </c>
      <c r="I8">
        <v>10</v>
      </c>
      <c r="J8" t="s">
        <v>36</v>
      </c>
      <c r="K8">
        <v>7</v>
      </c>
      <c r="T8" s="4"/>
      <c r="U8" s="4"/>
      <c r="AD8" s="4"/>
      <c r="AG8" s="37"/>
      <c r="AJ8" s="37"/>
    </row>
    <row r="9" spans="1:36" x14ac:dyDescent="0.35">
      <c r="A9" s="7">
        <v>7</v>
      </c>
      <c r="B9" t="s">
        <v>64</v>
      </c>
      <c r="C9" t="s">
        <v>32</v>
      </c>
      <c r="D9" t="s">
        <v>65</v>
      </c>
      <c r="E9">
        <v>1</v>
      </c>
      <c r="F9" t="s">
        <v>154</v>
      </c>
      <c r="G9">
        <v>1</v>
      </c>
      <c r="H9" t="s">
        <v>35</v>
      </c>
      <c r="I9">
        <v>10</v>
      </c>
      <c r="J9" t="s">
        <v>36</v>
      </c>
      <c r="K9">
        <v>7.6</v>
      </c>
      <c r="L9" s="25"/>
      <c r="M9" s="25"/>
      <c r="N9" s="25"/>
      <c r="O9" s="25"/>
      <c r="P9" s="25"/>
      <c r="Q9" s="25"/>
      <c r="R9" s="25"/>
      <c r="S9" s="25"/>
      <c r="T9" s="26"/>
      <c r="U9" s="26"/>
      <c r="V9" s="25"/>
      <c r="W9" s="25"/>
      <c r="X9" s="25"/>
      <c r="Y9" s="25"/>
      <c r="Z9" s="25"/>
      <c r="AA9" s="25"/>
      <c r="AB9" s="29"/>
      <c r="AC9" s="25"/>
      <c r="AD9" s="4"/>
      <c r="AE9" s="25"/>
      <c r="AG9" s="37"/>
      <c r="AH9" s="25"/>
      <c r="AI9" s="25"/>
      <c r="AJ9" s="45"/>
    </row>
    <row r="10" spans="1:36" x14ac:dyDescent="0.35">
      <c r="A10" s="7">
        <v>8</v>
      </c>
      <c r="B10" t="s">
        <v>49</v>
      </c>
      <c r="C10" t="s">
        <v>50</v>
      </c>
      <c r="D10" t="s">
        <v>33</v>
      </c>
      <c r="E10">
        <v>1</v>
      </c>
      <c r="F10" t="s">
        <v>154</v>
      </c>
      <c r="G10">
        <v>1</v>
      </c>
      <c r="H10" t="s">
        <v>51</v>
      </c>
      <c r="I10">
        <v>24</v>
      </c>
      <c r="J10" t="s">
        <v>52</v>
      </c>
      <c r="K10">
        <v>7.1</v>
      </c>
      <c r="T10" s="4"/>
      <c r="U10" s="4"/>
      <c r="AD10" s="4"/>
      <c r="AG10" s="37"/>
      <c r="AJ10" s="37"/>
    </row>
    <row r="11" spans="1:36" x14ac:dyDescent="0.35">
      <c r="A11" s="7">
        <v>9</v>
      </c>
      <c r="B11" t="s">
        <v>55</v>
      </c>
      <c r="C11" t="s">
        <v>50</v>
      </c>
      <c r="D11" t="s">
        <v>33</v>
      </c>
      <c r="E11">
        <v>2</v>
      </c>
      <c r="F11" t="s">
        <v>155</v>
      </c>
      <c r="G11">
        <v>2</v>
      </c>
      <c r="H11" t="s">
        <v>51</v>
      </c>
      <c r="I11">
        <v>24</v>
      </c>
      <c r="J11" t="s">
        <v>52</v>
      </c>
      <c r="K11">
        <v>7</v>
      </c>
      <c r="L11" s="25"/>
      <c r="M11" s="25"/>
      <c r="N11" s="25"/>
      <c r="O11" s="25"/>
      <c r="P11" s="25"/>
      <c r="Q11" s="25"/>
      <c r="R11" s="25"/>
      <c r="S11" s="25"/>
      <c r="T11" s="26"/>
      <c r="U11" s="26"/>
      <c r="V11" s="25"/>
      <c r="W11" s="25"/>
      <c r="X11" s="25"/>
      <c r="Y11" s="25"/>
      <c r="Z11" s="25"/>
      <c r="AA11" s="25"/>
      <c r="AB11" s="29"/>
      <c r="AC11" s="25"/>
      <c r="AD11" s="4"/>
      <c r="AE11" s="25"/>
      <c r="AG11" s="37"/>
      <c r="AH11" s="25"/>
      <c r="AI11" s="25"/>
      <c r="AJ11" s="45"/>
    </row>
    <row r="12" spans="1:36" x14ac:dyDescent="0.35">
      <c r="A12" s="7">
        <v>10</v>
      </c>
      <c r="B12" t="s">
        <v>58</v>
      </c>
      <c r="C12" t="s">
        <v>50</v>
      </c>
      <c r="D12" t="s">
        <v>33</v>
      </c>
      <c r="E12">
        <v>3</v>
      </c>
      <c r="F12" t="s">
        <v>156</v>
      </c>
      <c r="G12">
        <v>3</v>
      </c>
      <c r="H12" t="s">
        <v>51</v>
      </c>
      <c r="I12">
        <v>24</v>
      </c>
      <c r="J12" t="s">
        <v>52</v>
      </c>
      <c r="K12">
        <v>7.5</v>
      </c>
      <c r="L12" s="25"/>
      <c r="M12" s="25"/>
      <c r="N12" s="25"/>
      <c r="O12" s="25"/>
      <c r="P12" s="25"/>
      <c r="Q12" s="25"/>
      <c r="R12" s="25"/>
      <c r="S12" s="25"/>
      <c r="T12" s="26"/>
      <c r="U12" s="26"/>
      <c r="V12" s="25"/>
      <c r="W12" s="31"/>
      <c r="X12" s="31"/>
      <c r="Y12" s="31"/>
      <c r="Z12" s="31"/>
      <c r="AA12" s="31"/>
      <c r="AB12" s="31"/>
      <c r="AC12" s="25"/>
      <c r="AD12" s="4"/>
      <c r="AE12" s="25"/>
      <c r="AG12" s="37"/>
      <c r="AH12" s="25"/>
      <c r="AI12" s="25"/>
      <c r="AJ12" s="37"/>
    </row>
    <row r="13" spans="1:36" x14ac:dyDescent="0.35">
      <c r="A13" s="7">
        <v>11</v>
      </c>
      <c r="B13" t="s">
        <v>71</v>
      </c>
      <c r="C13" t="s">
        <v>50</v>
      </c>
      <c r="D13" t="s">
        <v>65</v>
      </c>
      <c r="E13">
        <v>1</v>
      </c>
      <c r="F13" t="s">
        <v>154</v>
      </c>
      <c r="G13">
        <v>1</v>
      </c>
      <c r="H13" t="s">
        <v>51</v>
      </c>
      <c r="I13">
        <v>24</v>
      </c>
      <c r="J13" t="s">
        <v>52</v>
      </c>
      <c r="K13">
        <v>6.9</v>
      </c>
      <c r="T13" s="4"/>
      <c r="U13" s="4"/>
      <c r="AD13" s="4"/>
      <c r="AG13" s="37"/>
      <c r="AJ13" s="37"/>
    </row>
    <row r="14" spans="1:36" x14ac:dyDescent="0.35">
      <c r="A14" s="7">
        <v>12</v>
      </c>
      <c r="B14" t="s">
        <v>74</v>
      </c>
      <c r="C14" t="s">
        <v>50</v>
      </c>
      <c r="D14" t="s">
        <v>65</v>
      </c>
      <c r="E14">
        <v>2</v>
      </c>
      <c r="F14" t="s">
        <v>157</v>
      </c>
      <c r="G14">
        <v>2</v>
      </c>
      <c r="H14" t="s">
        <v>51</v>
      </c>
      <c r="I14">
        <v>24</v>
      </c>
      <c r="J14" t="s">
        <v>52</v>
      </c>
      <c r="K14">
        <v>7.3</v>
      </c>
      <c r="T14" s="4"/>
      <c r="U14" s="4"/>
      <c r="AD14" s="4"/>
      <c r="AG14" s="37"/>
      <c r="AJ14" s="37"/>
    </row>
    <row r="15" spans="1:36" x14ac:dyDescent="0.35">
      <c r="A15" s="7">
        <v>13</v>
      </c>
      <c r="B15" t="s">
        <v>78</v>
      </c>
      <c r="C15" t="s">
        <v>79</v>
      </c>
      <c r="D15" t="s">
        <v>33</v>
      </c>
      <c r="E15">
        <v>1</v>
      </c>
      <c r="F15" t="s">
        <v>158</v>
      </c>
      <c r="G15">
        <v>1</v>
      </c>
      <c r="H15" t="s">
        <v>51</v>
      </c>
      <c r="I15">
        <v>16</v>
      </c>
      <c r="J15" t="s">
        <v>80</v>
      </c>
      <c r="K15">
        <v>6.7</v>
      </c>
      <c r="L15" s="25"/>
      <c r="M15" s="25"/>
      <c r="N15" s="25"/>
      <c r="O15" s="25"/>
      <c r="P15" s="25"/>
      <c r="Q15" s="25"/>
      <c r="R15" s="25"/>
      <c r="S15" s="25"/>
      <c r="T15" s="26"/>
      <c r="U15" s="26"/>
      <c r="V15" s="25"/>
      <c r="W15" s="25"/>
      <c r="X15" s="25"/>
      <c r="Y15" s="25"/>
      <c r="Z15" s="25"/>
      <c r="AA15" s="25"/>
      <c r="AB15" s="25"/>
      <c r="AC15" s="25"/>
      <c r="AD15" s="4"/>
      <c r="AE15" s="25"/>
      <c r="AG15" s="37"/>
      <c r="AH15" s="25"/>
      <c r="AI15" s="25"/>
      <c r="AJ15" s="37"/>
    </row>
    <row r="16" spans="1:36" x14ac:dyDescent="0.35">
      <c r="A16" s="7">
        <v>14</v>
      </c>
      <c r="B16" t="s">
        <v>83</v>
      </c>
      <c r="C16" t="s">
        <v>79</v>
      </c>
      <c r="D16" t="s">
        <v>33</v>
      </c>
      <c r="E16">
        <v>2</v>
      </c>
      <c r="F16" t="s">
        <v>157</v>
      </c>
      <c r="G16">
        <v>2</v>
      </c>
      <c r="H16" t="s">
        <v>51</v>
      </c>
      <c r="I16">
        <v>16</v>
      </c>
      <c r="J16" t="s">
        <v>80</v>
      </c>
      <c r="K16">
        <v>7.5</v>
      </c>
      <c r="T16" s="4"/>
      <c r="U16" s="4"/>
      <c r="AD16" s="4"/>
      <c r="AG16" s="37"/>
      <c r="AJ16" s="37"/>
    </row>
    <row r="17" spans="1:36" x14ac:dyDescent="0.35">
      <c r="A17" s="7">
        <v>15</v>
      </c>
      <c r="B17" t="s">
        <v>87</v>
      </c>
      <c r="C17" t="s">
        <v>79</v>
      </c>
      <c r="D17" t="s">
        <v>33</v>
      </c>
      <c r="E17">
        <v>3</v>
      </c>
      <c r="F17" t="s">
        <v>157</v>
      </c>
      <c r="G17">
        <v>3</v>
      </c>
      <c r="H17" t="s">
        <v>51</v>
      </c>
      <c r="I17">
        <v>16</v>
      </c>
      <c r="J17" t="s">
        <v>80</v>
      </c>
      <c r="K17">
        <v>6.8</v>
      </c>
      <c r="T17" s="4"/>
      <c r="U17" s="4"/>
      <c r="AD17" s="4"/>
      <c r="AG17" s="37"/>
      <c r="AJ17" s="37"/>
    </row>
    <row r="18" spans="1:36" x14ac:dyDescent="0.35">
      <c r="A18" s="7">
        <v>16</v>
      </c>
      <c r="B18" t="s">
        <v>113</v>
      </c>
      <c r="C18" t="s">
        <v>79</v>
      </c>
      <c r="D18" t="s">
        <v>33</v>
      </c>
      <c r="E18">
        <v>1</v>
      </c>
      <c r="F18" t="s">
        <v>34</v>
      </c>
      <c r="G18">
        <v>4</v>
      </c>
      <c r="H18" t="s">
        <v>51</v>
      </c>
      <c r="I18">
        <v>16</v>
      </c>
      <c r="J18" t="s">
        <v>80</v>
      </c>
      <c r="K18">
        <v>6.7</v>
      </c>
      <c r="T18" s="4"/>
      <c r="U18" s="4"/>
      <c r="AD18" s="4"/>
      <c r="AG18" s="37"/>
      <c r="AJ18" s="37"/>
    </row>
    <row r="19" spans="1:36" x14ac:dyDescent="0.35">
      <c r="A19" s="7">
        <v>17</v>
      </c>
      <c r="B19" t="s">
        <v>115</v>
      </c>
      <c r="C19" t="s">
        <v>79</v>
      </c>
      <c r="D19" t="s">
        <v>33</v>
      </c>
      <c r="E19">
        <v>1</v>
      </c>
      <c r="F19" t="s">
        <v>34</v>
      </c>
      <c r="G19">
        <v>5</v>
      </c>
      <c r="H19" t="s">
        <v>51</v>
      </c>
      <c r="I19">
        <v>16</v>
      </c>
      <c r="J19" t="s">
        <v>80</v>
      </c>
      <c r="K19">
        <v>6.8</v>
      </c>
      <c r="Q19" s="4"/>
      <c r="R19" s="4"/>
      <c r="AA19" s="4"/>
      <c r="AD19" s="37"/>
      <c r="AG19" s="37"/>
    </row>
    <row r="20" spans="1:36" x14ac:dyDescent="0.35">
      <c r="A20" s="7">
        <v>18</v>
      </c>
      <c r="B20" t="s">
        <v>90</v>
      </c>
      <c r="C20" t="s">
        <v>79</v>
      </c>
      <c r="D20" t="s">
        <v>65</v>
      </c>
      <c r="E20">
        <v>1</v>
      </c>
      <c r="F20" t="s">
        <v>158</v>
      </c>
      <c r="G20">
        <v>1</v>
      </c>
      <c r="H20" t="s">
        <v>51</v>
      </c>
      <c r="I20">
        <v>16</v>
      </c>
      <c r="J20" t="s">
        <v>80</v>
      </c>
      <c r="K20">
        <v>6.9</v>
      </c>
      <c r="T20" s="4"/>
      <c r="U20" s="4"/>
      <c r="AD20" s="4"/>
      <c r="AG20" s="37"/>
      <c r="AJ20" s="37"/>
    </row>
    <row r="21" spans="1:36" x14ac:dyDescent="0.35">
      <c r="A21" s="7">
        <v>19</v>
      </c>
      <c r="B21" t="s">
        <v>93</v>
      </c>
      <c r="C21" t="s">
        <v>79</v>
      </c>
      <c r="D21" t="s">
        <v>65</v>
      </c>
      <c r="E21">
        <v>2</v>
      </c>
      <c r="F21" t="s">
        <v>157</v>
      </c>
      <c r="G21">
        <v>2</v>
      </c>
      <c r="H21" t="s">
        <v>51</v>
      </c>
      <c r="I21">
        <v>16</v>
      </c>
      <c r="J21" t="s">
        <v>80</v>
      </c>
      <c r="K21">
        <v>7.4</v>
      </c>
      <c r="T21" s="4"/>
      <c r="U21" s="4"/>
      <c r="AD21" s="4"/>
      <c r="AG21" s="37"/>
      <c r="AJ21" s="37"/>
    </row>
    <row r="22" spans="1:36" x14ac:dyDescent="0.35">
      <c r="A22" s="7">
        <v>20</v>
      </c>
      <c r="B22" t="s">
        <v>96</v>
      </c>
      <c r="C22" t="s">
        <v>79</v>
      </c>
      <c r="D22" t="s">
        <v>65</v>
      </c>
      <c r="E22">
        <v>3</v>
      </c>
      <c r="F22" t="s">
        <v>157</v>
      </c>
      <c r="G22">
        <v>3</v>
      </c>
      <c r="H22" t="s">
        <v>51</v>
      </c>
      <c r="I22">
        <v>16</v>
      </c>
      <c r="J22" t="s">
        <v>80</v>
      </c>
      <c r="K22">
        <v>7.4</v>
      </c>
      <c r="S22" s="21"/>
      <c r="T22" s="4"/>
      <c r="U22" s="4"/>
      <c r="AD22" s="4"/>
      <c r="AG22" s="37"/>
      <c r="AJ22" s="37"/>
    </row>
    <row r="23" spans="1:36" x14ac:dyDescent="0.35">
      <c r="A23" s="7">
        <v>21</v>
      </c>
      <c r="B23" t="s">
        <v>116</v>
      </c>
      <c r="C23" t="s">
        <v>79</v>
      </c>
      <c r="D23" t="s">
        <v>65</v>
      </c>
      <c r="E23">
        <v>1</v>
      </c>
      <c r="F23" t="s">
        <v>34</v>
      </c>
      <c r="G23">
        <v>4</v>
      </c>
      <c r="H23" t="s">
        <v>51</v>
      </c>
      <c r="I23">
        <v>16</v>
      </c>
      <c r="J23" t="s">
        <v>80</v>
      </c>
      <c r="K23">
        <v>6.3</v>
      </c>
      <c r="S23" s="21"/>
      <c r="T23" s="4"/>
      <c r="U23" s="4"/>
      <c r="AD23" s="4"/>
      <c r="AG23" s="37"/>
      <c r="AJ23" s="37"/>
    </row>
    <row r="24" spans="1:36" x14ac:dyDescent="0.35">
      <c r="A24" s="7">
        <v>22</v>
      </c>
      <c r="B24" t="s">
        <v>159</v>
      </c>
      <c r="C24" t="s">
        <v>160</v>
      </c>
      <c r="D24" s="46" t="s">
        <v>63</v>
      </c>
      <c r="E24" s="46" t="s">
        <v>63</v>
      </c>
      <c r="F24" s="46" t="s">
        <v>63</v>
      </c>
      <c r="G24" s="46" t="s">
        <v>63</v>
      </c>
      <c r="H24" s="46" t="s">
        <v>63</v>
      </c>
      <c r="I24" s="46" t="s">
        <v>63</v>
      </c>
      <c r="J24" s="46" t="s">
        <v>63</v>
      </c>
      <c r="K24">
        <v>8.4</v>
      </c>
      <c r="S24" s="21"/>
      <c r="T24" s="4"/>
      <c r="U24" s="4"/>
      <c r="AD24" s="4"/>
      <c r="AG24" s="37"/>
      <c r="AJ24" s="37"/>
    </row>
    <row r="25" spans="1:36" x14ac:dyDescent="0.35">
      <c r="A25" s="9">
        <v>23</v>
      </c>
      <c r="B25" s="10" t="s">
        <v>161</v>
      </c>
      <c r="C25" s="10" t="s">
        <v>153</v>
      </c>
      <c r="D25" s="56" t="s">
        <v>63</v>
      </c>
      <c r="E25" s="56" t="s">
        <v>63</v>
      </c>
      <c r="F25" s="56" t="s">
        <v>63</v>
      </c>
      <c r="G25" s="56" t="s">
        <v>63</v>
      </c>
      <c r="H25" s="56" t="s">
        <v>63</v>
      </c>
      <c r="I25" s="56" t="s">
        <v>63</v>
      </c>
      <c r="J25" s="56" t="s">
        <v>63</v>
      </c>
      <c r="K25" s="56" t="s">
        <v>63</v>
      </c>
    </row>
    <row r="26" spans="1:36" x14ac:dyDescent="0.35">
      <c r="S26" s="21"/>
      <c r="T26" s="4"/>
      <c r="U26" s="4"/>
      <c r="X26" s="25"/>
      <c r="Y26" s="25"/>
      <c r="Z26" s="25"/>
      <c r="AD26" s="4"/>
      <c r="AE26" s="46"/>
      <c r="AF26" s="46"/>
      <c r="AG26" s="46"/>
      <c r="AH26" s="46"/>
      <c r="AI26" s="46"/>
      <c r="AJ26" s="37"/>
    </row>
    <row r="27" spans="1:36" x14ac:dyDescent="0.35">
      <c r="Q27" s="21"/>
      <c r="R27" s="4"/>
      <c r="S27" s="4"/>
      <c r="V27" s="25"/>
      <c r="W27" s="25"/>
      <c r="X27" s="25"/>
      <c r="AB27" s="4"/>
      <c r="AC27" s="46"/>
      <c r="AD27" s="46"/>
      <c r="AE27" s="46"/>
      <c r="AF27" s="46"/>
      <c r="AG27" s="46"/>
      <c r="AH27" s="37"/>
    </row>
    <row r="28" spans="1:36" x14ac:dyDescent="0.35">
      <c r="S28" s="21"/>
      <c r="T28" s="4"/>
      <c r="U28" s="4"/>
      <c r="AE28" s="46"/>
      <c r="AF28" s="46"/>
      <c r="AG28" s="46"/>
      <c r="AH28" s="46"/>
      <c r="AI28" s="46"/>
      <c r="AJ28" s="37"/>
    </row>
    <row r="29" spans="1:36" x14ac:dyDescent="0.35">
      <c r="S29" s="21"/>
      <c r="T29" s="4"/>
      <c r="U29" s="4"/>
      <c r="AE29" s="46"/>
      <c r="AF29" s="46"/>
      <c r="AG29" s="46"/>
      <c r="AH29" s="46"/>
      <c r="AI29" s="46"/>
      <c r="AJ29" s="37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Gesamt</vt:lpstr>
      <vt:lpstr>Fallstudie_WS2025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Gruenfelder Agnes</dc:creator>
  <cp:keywords/>
  <dc:description/>
  <cp:lastModifiedBy>Turaev Dmitrij</cp:lastModifiedBy>
  <cp:revision/>
  <dcterms:created xsi:type="dcterms:W3CDTF">2022-11-15T13:48:32Z</dcterms:created>
  <dcterms:modified xsi:type="dcterms:W3CDTF">2025-11-11T13:40:51Z</dcterms:modified>
  <cp:category/>
  <cp:contentStatus/>
</cp:coreProperties>
</file>